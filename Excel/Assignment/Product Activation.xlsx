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3E2F5FC5-EA5E-43E8-8C22-84D9701A4452}" xr6:coauthVersionLast="47" xr6:coauthVersionMax="47" xr10:uidLastSave="{00000000-0000-0000-0000-000000000000}"/>
  <bookViews>
    <workbookView xWindow="11424" yWindow="0" windowWidth="11712" windowHeight="12336" xr2:uid="{758E6DD3-85BD-46F3-9028-1BB934B4A1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35" i="1" a="1"/>
  <c r="E35" i="1" s="1"/>
  <c r="H30" i="1" a="1"/>
  <c r="H30" i="1" s="1"/>
  <c r="D34" i="1"/>
  <c r="E33" i="1"/>
  <c r="F32" i="1"/>
  <c r="F27" i="1"/>
  <c r="G27" i="1" s="1"/>
  <c r="F26" i="1"/>
  <c r="G26" i="1" s="1"/>
  <c r="F28" i="1"/>
  <c r="G28" i="1" s="1"/>
  <c r="F29" i="1"/>
  <c r="G29" i="1" s="1"/>
  <c r="F30" i="1"/>
  <c r="G30" i="1" s="1"/>
  <c r="F31" i="1"/>
  <c r="G31" i="1" s="1"/>
  <c r="E27" i="1"/>
  <c r="M5" i="1"/>
  <c r="M6" i="1"/>
  <c r="M10" i="1"/>
  <c r="M11" i="1"/>
  <c r="M12" i="1"/>
  <c r="M13" i="1"/>
  <c r="M17" i="1"/>
  <c r="M18" i="1"/>
  <c r="G21" i="1"/>
  <c r="M21" i="1" s="1"/>
  <c r="G2" i="1"/>
  <c r="E31" i="1" s="1"/>
  <c r="G3" i="1"/>
  <c r="M3" i="1" s="1"/>
  <c r="G4" i="1"/>
  <c r="M4" i="1" s="1"/>
  <c r="G5" i="1"/>
  <c r="G6" i="1"/>
  <c r="G7" i="1"/>
  <c r="M7" i="1" s="1"/>
  <c r="G8" i="1"/>
  <c r="M8" i="1" s="1"/>
  <c r="G9" i="1"/>
  <c r="M9" i="1" s="1"/>
  <c r="G10" i="1"/>
  <c r="G11" i="1"/>
  <c r="G12" i="1"/>
  <c r="G13" i="1"/>
  <c r="G14" i="1"/>
  <c r="M14" i="1" s="1"/>
  <c r="G15" i="1"/>
  <c r="M15" i="1" s="1"/>
  <c r="G16" i="1"/>
  <c r="M16" i="1" s="1"/>
  <c r="G17" i="1"/>
  <c r="G18" i="1"/>
  <c r="G19" i="1"/>
  <c r="M19" i="1" s="1"/>
  <c r="G20" i="1"/>
  <c r="M20" i="1" s="1"/>
  <c r="E29" i="1" l="1"/>
  <c r="M2" i="1"/>
  <c r="E26" i="1"/>
  <c r="E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<sst xmlns="http://schemas.openxmlformats.org/spreadsheetml/2006/main" count="146" uniqueCount="65">
  <si>
    <t>Order ID</t>
  </si>
  <si>
    <t>Customer Info</t>
  </si>
  <si>
    <t>Product</t>
  </si>
  <si>
    <t>Category</t>
  </si>
  <si>
    <t>Quantity</t>
  </si>
  <si>
    <t>Price</t>
  </si>
  <si>
    <t>Region</t>
  </si>
  <si>
    <t>Arjun | 9876543210</t>
  </si>
  <si>
    <t>Pen</t>
  </si>
  <si>
    <t>Stationery</t>
  </si>
  <si>
    <t>india</t>
  </si>
  <si>
    <t>Neha | 9123456780</t>
  </si>
  <si>
    <t>Notebook</t>
  </si>
  <si>
    <t>US</t>
  </si>
  <si>
    <t>Rohit | 9988776655</t>
  </si>
  <si>
    <t>Pencil</t>
  </si>
  <si>
    <t>UK</t>
  </si>
  <si>
    <t>Simran | 9012345678</t>
  </si>
  <si>
    <t>Eraser</t>
  </si>
  <si>
    <t>UAE</t>
  </si>
  <si>
    <t>Karan | 9090909090</t>
  </si>
  <si>
    <t>India</t>
  </si>
  <si>
    <t>Riya | 9345678901</t>
  </si>
  <si>
    <t>us</t>
  </si>
  <si>
    <t>Amit | 9234567890</t>
  </si>
  <si>
    <t>Sara | 9876501234</t>
  </si>
  <si>
    <t>John | 9988001122</t>
  </si>
  <si>
    <t>Uk</t>
  </si>
  <si>
    <t>Meena | 9765432109</t>
  </si>
  <si>
    <t>Vikram | 9123001122</t>
  </si>
  <si>
    <t>Pooja | 9345001123</t>
  </si>
  <si>
    <t>Kiran | 9000011122</t>
  </si>
  <si>
    <t>Anil | 9888800011</t>
  </si>
  <si>
    <t>Divya | 9777700011</t>
  </si>
  <si>
    <t>Rahul | 9666600011</t>
  </si>
  <si>
    <t>Sneha | 9555500011</t>
  </si>
  <si>
    <t>Karthik | 9001122334</t>
  </si>
  <si>
    <t>Lavanya | 9011223344</t>
  </si>
  <si>
    <t>Manoj | 9022334455</t>
  </si>
  <si>
    <t>Order Date</t>
  </si>
  <si>
    <t>Channel</t>
  </si>
  <si>
    <t>Status</t>
  </si>
  <si>
    <t>Discount</t>
  </si>
  <si>
    <t>Online</t>
  </si>
  <si>
    <t>Delivered</t>
  </si>
  <si>
    <t>Offline</t>
  </si>
  <si>
    <t>Pending</t>
  </si>
  <si>
    <t>App</t>
  </si>
  <si>
    <t>Cancelled</t>
  </si>
  <si>
    <t>Returned</t>
  </si>
  <si>
    <t>Column1</t>
  </si>
  <si>
    <t>Total Amount</t>
  </si>
  <si>
    <t>Total Sales</t>
  </si>
  <si>
    <t>Average Sales</t>
  </si>
  <si>
    <t>Conut Rows</t>
  </si>
  <si>
    <t>Highest value</t>
  </si>
  <si>
    <t>Customer info of Highest Sales</t>
  </si>
  <si>
    <t>Lowest Sales</t>
  </si>
  <si>
    <t>Column2</t>
  </si>
  <si>
    <t>Column3</t>
  </si>
  <si>
    <t>column4</t>
  </si>
  <si>
    <t>Best Performing Product</t>
  </si>
  <si>
    <t>column5</t>
  </si>
  <si>
    <t>Customer info of lowest sales</t>
  </si>
  <si>
    <t>Least performing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</si>
</sst>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9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14" fontId="2" fillId="0" borderId="5" xfId="0" applyNumberFormat="1" applyFont="1" applyBorder="1" applyAlignment="1">
      <alignment wrapText="1"/>
    </xf>
    <xf numFmtId="0" fontId="1" fillId="0" borderId="0" xfId="0" applyFont="1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4"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B1E69-B3E3-46C0-95F3-8CA3C78BD8E4}" name="Table1" displayName="Table1" ref="A1:M21" totalsRowShown="0" headerRowDxfId="23" headerRowBorderDxfId="21" tableBorderDxfId="22" totalsRowBorderDxfId="20">
  <tableColumns count="13">
    <tableColumn id="1" xr3:uid="{B2C3E8DD-13FE-4B4A-8774-79EDB73D6807}" name="Order ID" dataDxfId="19"/>
    <tableColumn id="2" xr3:uid="{F1525636-D14C-48D9-ACA2-71DA1587B01F}" name="Customer Info" dataDxfId="18"/>
    <tableColumn id="3" xr3:uid="{4FF9CA79-1C87-40BD-8466-BFDE08D9657E}" name="Product" dataDxfId="17"/>
    <tableColumn id="4" xr3:uid="{9464C8A7-29DE-4353-ACFD-F0D9E4109CA8}" name="Category" dataDxfId="16"/>
    <tableColumn id="5" xr3:uid="{8C254BD4-D2BE-4DCD-A569-A291D0AEB8CB}" name="Quantity" dataDxfId="15"/>
    <tableColumn id="6" xr3:uid="{5E646ACF-868D-4372-9122-3154AAD6BFCE}" name="Price" dataDxfId="14"/>
    <tableColumn id="12" xr3:uid="{423BC51C-C87E-4BFF-9326-2E81BCC7B458}" name="Total Amount" dataDxfId="13">
      <calculatedColumnFormula>Table1[[#This Row],[Quantity]]*Table1[[#This Row],[Price]]</calculatedColumnFormula>
    </tableColumn>
    <tableColumn id="7" xr3:uid="{840A453A-7F8D-4C3E-9874-8742DCE7D012}" name="Region" dataDxfId="12"/>
    <tableColumn id="8" xr3:uid="{F7A7F085-F080-4B4A-9E07-1E8FEF9C7559}" name="Order Date" dataDxfId="11"/>
    <tableColumn id="9" xr3:uid="{C2C332C0-ED4A-41D2-901C-AF258803A570}" name="Channel" dataDxfId="10"/>
    <tableColumn id="10" xr3:uid="{97B8CAFC-5EAF-4C7A-B443-7134B94472D1}" name="Status" dataDxfId="9"/>
    <tableColumn id="11" xr3:uid="{24D721B2-3368-4524-94BE-A81AEA50585E}" name="Discount" dataDxfId="8"/>
    <tableColumn id="13" xr3:uid="{9F481C22-B4DE-4438-9D9B-9B7208FAEDCD}" name="Column1" dataDxfId="7">
      <calculatedColumnFormula>IF(Table1[[#This Row],[Total Amount]]=350,"True","False")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B77CC-1D32-47BB-8860-63693919BC29}" name="Table2" displayName="Table2" ref="D25:F33" totalsRowCount="1">
  <autoFilter ref="D25:F32" xr:uid="{243B77CC-1D32-47BB-8860-63693919BC29}"/>
  <tableColumns count="3">
    <tableColumn id="1" xr3:uid="{ABDA8DD4-948D-46F8-BFC9-66315C42465B}" name="Column1" dataDxfId="6" totalsRowDxfId="2"/>
    <tableColumn id="2" xr3:uid="{CA34477D-523D-4BED-A18A-C2A15824E3E6}" name="Column2" totalsRowFunction="custom">
      <totalsRowFormula>MAX(Table1[Quantity])</totalsRowFormula>
    </tableColumn>
    <tableColumn id="3" xr3:uid="{D65FE0D9-58C8-456A-8EC9-ACAF248E32ED}" name="Column3" dataDxfId="3" totalsRowDxfId="1">
      <calculatedColumnFormula>ROUND(Table2[[#This Row],[Column2]],1)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66E64A-BD41-4D10-9944-AC4FC3254EF7}" name="Table3" displayName="Table3" ref="G25:H31" totalsRowShown="0" dataDxfId="4">
  <autoFilter ref="G25:H31" xr:uid="{E366E64A-BD41-4D10-9944-AC4FC3254EF7}"/>
  <tableColumns count="2">
    <tableColumn id="1" xr3:uid="{A5EE8D82-B9F4-434F-AB54-128E4DFFB8DC}" name="column4" dataDxfId="5">
      <calculatedColumnFormula>TEXT(Table2[[#This Row],[Column3]],"0.00")</calculatedColumnFormula>
    </tableColumn>
    <tableColumn id="2" xr3:uid="{A3A6EE28-A896-44DE-BA02-93187C1CF822}" name="colum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A995-3E8B-415F-B917-385E7D4A21BA}">
  <dimension ref="A1:M36"/>
  <sheetViews>
    <sheetView tabSelected="1" zoomScale="73" workbookViewId="0">
      <selection activeCell="F37" sqref="F37"/>
    </sheetView>
  </sheetViews>
  <sheetFormatPr defaultRowHeight="14.4" x14ac:dyDescent="0.3"/>
  <cols>
    <col min="1" max="1" width="13" customWidth="1"/>
    <col min="2" max="2" width="22" customWidth="1"/>
    <col min="3" max="3" width="12.77734375" customWidth="1"/>
    <col min="4" max="4" width="27.33203125" customWidth="1"/>
    <col min="5" max="5" width="17.21875" customWidth="1"/>
    <col min="6" max="7" width="10.77734375" customWidth="1"/>
    <col min="8" max="8" width="20.44140625" customWidth="1"/>
    <col min="9" max="9" width="10.6640625" bestFit="1" customWidth="1"/>
  </cols>
  <sheetData>
    <row r="1" spans="1:13" ht="40.799999999999997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51</v>
      </c>
      <c r="H1" s="7" t="s">
        <v>6</v>
      </c>
      <c r="I1" s="17" t="s">
        <v>39</v>
      </c>
      <c r="J1" s="6" t="s">
        <v>40</v>
      </c>
      <c r="K1" s="6" t="s">
        <v>41</v>
      </c>
      <c r="L1" s="6" t="s">
        <v>42</v>
      </c>
      <c r="M1" s="6" t="s">
        <v>50</v>
      </c>
    </row>
    <row r="2" spans="1:13" ht="15" thickBot="1" x14ac:dyDescent="0.35">
      <c r="A2" s="3">
        <v>1001</v>
      </c>
      <c r="B2" s="1" t="s">
        <v>7</v>
      </c>
      <c r="C2" s="1" t="s">
        <v>8</v>
      </c>
      <c r="D2" s="1" t="s">
        <v>9</v>
      </c>
      <c r="E2" s="2">
        <v>10</v>
      </c>
      <c r="F2" s="2">
        <v>20</v>
      </c>
      <c r="G2" s="15">
        <f>Table1[[#This Row],[Quantity]]*Table1[[#This Row],[Price]]</f>
        <v>200</v>
      </c>
      <c r="H2" s="4" t="s">
        <v>10</v>
      </c>
      <c r="I2" s="12">
        <v>45394</v>
      </c>
      <c r="J2" s="1" t="s">
        <v>43</v>
      </c>
      <c r="K2" s="1" t="s">
        <v>44</v>
      </c>
      <c r="L2" s="13">
        <v>0.05</v>
      </c>
      <c r="M2" t="str">
        <f>IF(Table1[[#This Row],[Total Amount]]=350,"True","False")</f>
        <v>False</v>
      </c>
    </row>
    <row r="3" spans="1:13" ht="23.4" customHeight="1" thickBot="1" x14ac:dyDescent="0.35">
      <c r="A3" s="3">
        <v>1002</v>
      </c>
      <c r="B3" s="1" t="s">
        <v>11</v>
      </c>
      <c r="C3" s="1" t="s">
        <v>12</v>
      </c>
      <c r="D3" s="1" t="s">
        <v>9</v>
      </c>
      <c r="E3" s="2">
        <v>5</v>
      </c>
      <c r="F3" s="2">
        <v>50</v>
      </c>
      <c r="G3" s="15">
        <f>Table1[[#This Row],[Quantity]]*Table1[[#This Row],[Price]]</f>
        <v>250</v>
      </c>
      <c r="H3" s="4" t="s">
        <v>13</v>
      </c>
      <c r="I3" s="14"/>
      <c r="J3" s="1" t="s">
        <v>45</v>
      </c>
      <c r="K3" s="1" t="s">
        <v>46</v>
      </c>
      <c r="L3" s="13">
        <v>0.1</v>
      </c>
      <c r="M3" t="str">
        <f>IF(Table1[[#This Row],[Total Amount]]=350,"True","False")</f>
        <v>False</v>
      </c>
    </row>
    <row r="4" spans="1:13" ht="16.2" customHeight="1" thickBot="1" x14ac:dyDescent="0.35">
      <c r="A4" s="3">
        <v>1003</v>
      </c>
      <c r="B4" s="1" t="s">
        <v>14</v>
      </c>
      <c r="C4" s="1" t="s">
        <v>15</v>
      </c>
      <c r="D4" s="1" t="s">
        <v>9</v>
      </c>
      <c r="E4" s="2">
        <v>8</v>
      </c>
      <c r="F4" s="2">
        <v>10</v>
      </c>
      <c r="G4" s="15">
        <f>Table1[[#This Row],[Quantity]]*Table1[[#This Row],[Price]]</f>
        <v>80</v>
      </c>
      <c r="H4" s="4" t="s">
        <v>16</v>
      </c>
      <c r="I4" s="14">
        <v>45366</v>
      </c>
      <c r="J4" s="1" t="s">
        <v>43</v>
      </c>
      <c r="K4" s="1" t="s">
        <v>44</v>
      </c>
      <c r="L4" s="1"/>
      <c r="M4" t="str">
        <f>IF(Table1[[#This Row],[Total Amount]]=350,"True","False")</f>
        <v>False</v>
      </c>
    </row>
    <row r="5" spans="1:13" ht="20.399999999999999" customHeight="1" thickBot="1" x14ac:dyDescent="0.35">
      <c r="A5" s="3">
        <v>1004</v>
      </c>
      <c r="B5" s="1" t="s">
        <v>17</v>
      </c>
      <c r="C5" s="1" t="s">
        <v>18</v>
      </c>
      <c r="D5" s="1" t="s">
        <v>9</v>
      </c>
      <c r="E5" s="2">
        <v>3</v>
      </c>
      <c r="F5" s="2">
        <v>15</v>
      </c>
      <c r="G5" s="15">
        <f>Table1[[#This Row],[Quantity]]*Table1[[#This Row],[Price]]</f>
        <v>45</v>
      </c>
      <c r="H5" s="4" t="s">
        <v>19</v>
      </c>
      <c r="I5" s="12">
        <v>45332</v>
      </c>
      <c r="J5" s="1" t="s">
        <v>47</v>
      </c>
      <c r="K5" s="1" t="s">
        <v>44</v>
      </c>
      <c r="L5" s="13">
        <v>0.05</v>
      </c>
      <c r="M5" t="str">
        <f>IF(Table1[[#This Row],[Total Amount]]=350,"True","False")</f>
        <v>False</v>
      </c>
    </row>
    <row r="6" spans="1:13" ht="18.600000000000001" customHeight="1" thickBot="1" x14ac:dyDescent="0.35">
      <c r="A6" s="3">
        <v>1005</v>
      </c>
      <c r="B6" s="1" t="s">
        <v>20</v>
      </c>
      <c r="C6" s="1" t="s">
        <v>8</v>
      </c>
      <c r="D6" s="1" t="s">
        <v>9</v>
      </c>
      <c r="E6" s="2">
        <v>6</v>
      </c>
      <c r="F6" s="2">
        <v>20</v>
      </c>
      <c r="G6" s="15">
        <f>Table1[[#This Row],[Quantity]]*Table1[[#This Row],[Price]]</f>
        <v>120</v>
      </c>
      <c r="H6" s="4" t="s">
        <v>21</v>
      </c>
      <c r="I6" s="12">
        <v>45423</v>
      </c>
      <c r="J6" s="1" t="s">
        <v>43</v>
      </c>
      <c r="K6" s="1"/>
      <c r="L6" s="13">
        <v>0</v>
      </c>
      <c r="M6" t="str">
        <f>IF(Table1[[#This Row],[Total Amount]]=350,"True","False")</f>
        <v>False</v>
      </c>
    </row>
    <row r="7" spans="1:13" ht="15" thickBot="1" x14ac:dyDescent="0.35">
      <c r="A7" s="3">
        <v>1006</v>
      </c>
      <c r="B7" s="1" t="s">
        <v>22</v>
      </c>
      <c r="C7" s="1" t="s">
        <v>12</v>
      </c>
      <c r="D7" s="1" t="s">
        <v>9</v>
      </c>
      <c r="E7" s="2">
        <v>3</v>
      </c>
      <c r="F7" s="2">
        <v>50</v>
      </c>
      <c r="G7" s="15">
        <f>Table1[[#This Row],[Quantity]]*Table1[[#This Row],[Price]]</f>
        <v>150</v>
      </c>
      <c r="H7" s="4" t="s">
        <v>23</v>
      </c>
      <c r="I7" s="12">
        <v>45450</v>
      </c>
      <c r="J7" s="1" t="s">
        <v>47</v>
      </c>
      <c r="K7" s="1" t="s">
        <v>44</v>
      </c>
      <c r="L7" s="13">
        <v>0.1</v>
      </c>
      <c r="M7" t="str">
        <f>IF(Table1[[#This Row],[Total Amount]]=350,"True","False")</f>
        <v>False</v>
      </c>
    </row>
    <row r="8" spans="1:13" ht="27.6" thickBot="1" x14ac:dyDescent="0.35">
      <c r="A8" s="3">
        <v>1007</v>
      </c>
      <c r="B8" s="1" t="s">
        <v>24</v>
      </c>
      <c r="C8" s="1" t="s">
        <v>15</v>
      </c>
      <c r="D8" s="1" t="s">
        <v>9</v>
      </c>
      <c r="E8" s="2">
        <v>2</v>
      </c>
      <c r="F8" s="2">
        <v>10</v>
      </c>
      <c r="G8" s="15">
        <f>Table1[[#This Row],[Quantity]]*Table1[[#This Row],[Price]]</f>
        <v>20</v>
      </c>
      <c r="H8" s="4" t="s">
        <v>21</v>
      </c>
      <c r="I8" s="14"/>
      <c r="J8" s="1" t="s">
        <v>45</v>
      </c>
      <c r="K8" s="1" t="s">
        <v>48</v>
      </c>
      <c r="L8" s="13">
        <v>0</v>
      </c>
      <c r="M8" t="str">
        <f>IF(Table1[[#This Row],[Total Amount]]=350,"True","False")</f>
        <v>False</v>
      </c>
    </row>
    <row r="9" spans="1:13" ht="15" thickBot="1" x14ac:dyDescent="0.35">
      <c r="A9" s="3">
        <v>1008</v>
      </c>
      <c r="B9" s="1" t="s">
        <v>25</v>
      </c>
      <c r="C9" s="1" t="s">
        <v>18</v>
      </c>
      <c r="D9" s="1" t="s">
        <v>9</v>
      </c>
      <c r="E9" s="2">
        <v>0</v>
      </c>
      <c r="F9" s="2">
        <v>15</v>
      </c>
      <c r="G9" s="15">
        <f>Table1[[#This Row],[Quantity]]*Table1[[#This Row],[Price]]</f>
        <v>0</v>
      </c>
      <c r="H9" s="4" t="s">
        <v>16</v>
      </c>
      <c r="I9" s="14">
        <v>45407</v>
      </c>
      <c r="J9" s="1" t="s">
        <v>43</v>
      </c>
      <c r="K9" s="1" t="s">
        <v>44</v>
      </c>
      <c r="L9" s="13">
        <v>0.05</v>
      </c>
      <c r="M9" t="str">
        <f>IF(Table1[[#This Row],[Total Amount]]=350,"True","False")</f>
        <v>False</v>
      </c>
    </row>
    <row r="10" spans="1:13" ht="15" thickBot="1" x14ac:dyDescent="0.35">
      <c r="A10" s="3">
        <v>1009</v>
      </c>
      <c r="B10" s="1" t="s">
        <v>26</v>
      </c>
      <c r="C10" s="1" t="s">
        <v>8</v>
      </c>
      <c r="D10" s="1" t="s">
        <v>9</v>
      </c>
      <c r="E10" s="2">
        <v>8</v>
      </c>
      <c r="F10" s="2">
        <v>20</v>
      </c>
      <c r="G10" s="15">
        <f>Table1[[#This Row],[Quantity]]*Table1[[#This Row],[Price]]</f>
        <v>160</v>
      </c>
      <c r="H10" s="4" t="s">
        <v>27</v>
      </c>
      <c r="I10" s="14">
        <v>45364</v>
      </c>
      <c r="J10" s="1" t="s">
        <v>47</v>
      </c>
      <c r="K10" s="1" t="s">
        <v>44</v>
      </c>
      <c r="L10" s="13">
        <v>0.05</v>
      </c>
      <c r="M10" t="str">
        <f>IF(Table1[[#This Row],[Total Amount]]=350,"True","False")</f>
        <v>False</v>
      </c>
    </row>
    <row r="11" spans="1:13" ht="15" thickBot="1" x14ac:dyDescent="0.35">
      <c r="A11" s="3">
        <v>1010</v>
      </c>
      <c r="B11" s="1" t="s">
        <v>28</v>
      </c>
      <c r="C11" s="1" t="s">
        <v>12</v>
      </c>
      <c r="D11" s="1" t="s">
        <v>9</v>
      </c>
      <c r="E11" s="2">
        <v>6</v>
      </c>
      <c r="F11" s="2">
        <v>50</v>
      </c>
      <c r="G11" s="15">
        <f>Table1[[#This Row],[Quantity]]*Table1[[#This Row],[Price]]</f>
        <v>300</v>
      </c>
      <c r="H11" s="4" t="s">
        <v>21</v>
      </c>
      <c r="I11" s="14">
        <v>45404</v>
      </c>
      <c r="J11" s="1" t="s">
        <v>45</v>
      </c>
      <c r="K11" s="1" t="s">
        <v>49</v>
      </c>
      <c r="L11" s="13">
        <v>0.1</v>
      </c>
      <c r="M11" t="str">
        <f>IF(Table1[[#This Row],[Total Amount]]=350,"True","False")</f>
        <v>False</v>
      </c>
    </row>
    <row r="12" spans="1:13" ht="15" thickBot="1" x14ac:dyDescent="0.35">
      <c r="A12" s="3">
        <v>1011</v>
      </c>
      <c r="B12" s="1" t="s">
        <v>29</v>
      </c>
      <c r="C12" s="1" t="s">
        <v>8</v>
      </c>
      <c r="D12" s="1" t="s">
        <v>9</v>
      </c>
      <c r="E12" s="2">
        <v>5</v>
      </c>
      <c r="F12" s="2">
        <v>20</v>
      </c>
      <c r="G12" s="15">
        <f>Table1[[#This Row],[Quantity]]*Table1[[#This Row],[Price]]</f>
        <v>100</v>
      </c>
      <c r="H12" s="4" t="s">
        <v>21</v>
      </c>
      <c r="I12" s="14">
        <v>45340</v>
      </c>
      <c r="J12" s="1" t="s">
        <v>43</v>
      </c>
      <c r="K12" s="1" t="s">
        <v>44</v>
      </c>
      <c r="L12" s="1"/>
      <c r="M12" t="str">
        <f>IF(Table1[[#This Row],[Total Amount]]=350,"True","False")</f>
        <v>False</v>
      </c>
    </row>
    <row r="13" spans="1:13" ht="15" thickBot="1" x14ac:dyDescent="0.35">
      <c r="A13" s="3">
        <v>1012</v>
      </c>
      <c r="B13" s="1" t="s">
        <v>30</v>
      </c>
      <c r="C13" s="1" t="s">
        <v>12</v>
      </c>
      <c r="D13" s="1" t="s">
        <v>9</v>
      </c>
      <c r="E13" s="2">
        <v>2</v>
      </c>
      <c r="F13" s="2">
        <v>50</v>
      </c>
      <c r="G13" s="15">
        <f>Table1[[#This Row],[Quantity]]*Table1[[#This Row],[Price]]</f>
        <v>100</v>
      </c>
      <c r="H13" s="4" t="s">
        <v>13</v>
      </c>
      <c r="I13" s="14">
        <v>45370</v>
      </c>
      <c r="J13" s="1" t="s">
        <v>47</v>
      </c>
      <c r="K13" s="1" t="s">
        <v>46</v>
      </c>
      <c r="L13" s="13">
        <v>0.1</v>
      </c>
      <c r="M13" t="str">
        <f>IF(Table1[[#This Row],[Total Amount]]=350,"True","False")</f>
        <v>False</v>
      </c>
    </row>
    <row r="14" spans="1:13" ht="15" thickBot="1" x14ac:dyDescent="0.35">
      <c r="A14" s="3">
        <v>1013</v>
      </c>
      <c r="B14" s="1" t="s">
        <v>31</v>
      </c>
      <c r="C14" s="1" t="s">
        <v>18</v>
      </c>
      <c r="D14" s="1" t="s">
        <v>9</v>
      </c>
      <c r="E14" s="2">
        <v>3</v>
      </c>
      <c r="F14" s="2">
        <v>15</v>
      </c>
      <c r="G14" s="15">
        <f>Table1[[#This Row],[Quantity]]*Table1[[#This Row],[Price]]</f>
        <v>45</v>
      </c>
      <c r="H14" s="4" t="s">
        <v>19</v>
      </c>
      <c r="I14" s="14">
        <v>45312</v>
      </c>
      <c r="J14" s="1" t="s">
        <v>43</v>
      </c>
      <c r="K14" s="1" t="s">
        <v>44</v>
      </c>
      <c r="L14" s="13">
        <v>0.05</v>
      </c>
      <c r="M14" t="str">
        <f>IF(Table1[[#This Row],[Total Amount]]=350,"True","False")</f>
        <v>False</v>
      </c>
    </row>
    <row r="15" spans="1:13" ht="15" thickBot="1" x14ac:dyDescent="0.35">
      <c r="A15" s="3">
        <v>1014</v>
      </c>
      <c r="B15" s="1" t="s">
        <v>32</v>
      </c>
      <c r="C15" s="1" t="s">
        <v>15</v>
      </c>
      <c r="D15" s="1" t="s">
        <v>9</v>
      </c>
      <c r="E15" s="2">
        <v>1</v>
      </c>
      <c r="F15" s="2">
        <v>10</v>
      </c>
      <c r="G15" s="15">
        <f>Table1[[#This Row],[Quantity]]*Table1[[#This Row],[Price]]</f>
        <v>10</v>
      </c>
      <c r="H15" s="4" t="s">
        <v>21</v>
      </c>
      <c r="I15" s="12">
        <v>45417</v>
      </c>
      <c r="J15" s="1" t="s">
        <v>45</v>
      </c>
      <c r="K15" s="1" t="s">
        <v>44</v>
      </c>
      <c r="L15" s="13">
        <v>0</v>
      </c>
      <c r="M15" t="str">
        <f>IF(Table1[[#This Row],[Total Amount]]=350,"True","False")</f>
        <v>False</v>
      </c>
    </row>
    <row r="16" spans="1:13" ht="15" thickBot="1" x14ac:dyDescent="0.35">
      <c r="A16" s="3">
        <v>1015</v>
      </c>
      <c r="B16" s="1" t="s">
        <v>33</v>
      </c>
      <c r="C16" s="1" t="s">
        <v>12</v>
      </c>
      <c r="D16" s="1" t="s">
        <v>9</v>
      </c>
      <c r="E16" s="2">
        <v>4</v>
      </c>
      <c r="F16" s="2">
        <v>50</v>
      </c>
      <c r="G16" s="15">
        <f>Table1[[#This Row],[Quantity]]*Table1[[#This Row],[Price]]</f>
        <v>200</v>
      </c>
      <c r="H16" s="4" t="s">
        <v>16</v>
      </c>
      <c r="I16" s="12">
        <v>45455</v>
      </c>
      <c r="J16" s="1" t="s">
        <v>47</v>
      </c>
      <c r="K16" s="1" t="s">
        <v>44</v>
      </c>
      <c r="L16" s="13">
        <v>0.1</v>
      </c>
      <c r="M16" t="str">
        <f>IF(Table1[[#This Row],[Total Amount]]=350,"True","False")</f>
        <v>False</v>
      </c>
    </row>
    <row r="17" spans="1:13" ht="15" thickBot="1" x14ac:dyDescent="0.35">
      <c r="A17" s="3">
        <v>1016</v>
      </c>
      <c r="B17" s="1" t="s">
        <v>34</v>
      </c>
      <c r="C17" s="1" t="s">
        <v>8</v>
      </c>
      <c r="D17" s="1" t="s">
        <v>9</v>
      </c>
      <c r="E17" s="2">
        <v>7</v>
      </c>
      <c r="F17" s="2">
        <v>20</v>
      </c>
      <c r="G17" s="15">
        <f>Table1[[#This Row],[Quantity]]*Table1[[#This Row],[Price]]</f>
        <v>140</v>
      </c>
      <c r="H17" s="4" t="s">
        <v>21</v>
      </c>
      <c r="I17" s="12">
        <v>45389</v>
      </c>
      <c r="J17" s="1" t="s">
        <v>43</v>
      </c>
      <c r="K17" s="1" t="s">
        <v>44</v>
      </c>
      <c r="L17" s="13">
        <v>0.05</v>
      </c>
      <c r="M17" t="str">
        <f>IF(Table1[[#This Row],[Total Amount]]=350,"True","False")</f>
        <v>False</v>
      </c>
    </row>
    <row r="18" spans="1:13" ht="16.2" customHeight="1" thickBot="1" x14ac:dyDescent="0.35">
      <c r="A18" s="3">
        <v>1017</v>
      </c>
      <c r="B18" s="1" t="s">
        <v>35</v>
      </c>
      <c r="C18" s="1" t="s">
        <v>18</v>
      </c>
      <c r="D18" s="1" t="s">
        <v>9</v>
      </c>
      <c r="E18" s="2">
        <v>2</v>
      </c>
      <c r="F18" s="2">
        <v>15</v>
      </c>
      <c r="G18" s="15">
        <f>Table1[[#This Row],[Quantity]]*Table1[[#This Row],[Price]]</f>
        <v>30</v>
      </c>
      <c r="H18" s="4" t="s">
        <v>19</v>
      </c>
      <c r="I18" s="12">
        <v>45333</v>
      </c>
      <c r="J18" s="1" t="s">
        <v>47</v>
      </c>
      <c r="K18" s="1" t="s">
        <v>48</v>
      </c>
      <c r="L18" s="13">
        <v>0.05</v>
      </c>
      <c r="M18" t="str">
        <f>IF(Table1[[#This Row],[Total Amount]]=350,"True","False")</f>
        <v>False</v>
      </c>
    </row>
    <row r="19" spans="1:13" ht="15" thickBot="1" x14ac:dyDescent="0.35">
      <c r="A19" s="3">
        <v>1018</v>
      </c>
      <c r="B19" s="1" t="s">
        <v>36</v>
      </c>
      <c r="C19" s="1" t="s">
        <v>8</v>
      </c>
      <c r="D19" s="1" t="s">
        <v>9</v>
      </c>
      <c r="E19" s="2">
        <v>6</v>
      </c>
      <c r="F19" s="2">
        <v>20</v>
      </c>
      <c r="G19" s="15">
        <f>Table1[[#This Row],[Quantity]]*Table1[[#This Row],[Price]]</f>
        <v>120</v>
      </c>
      <c r="H19" s="4" t="s">
        <v>10</v>
      </c>
      <c r="I19" s="12">
        <v>45392</v>
      </c>
      <c r="J19" s="1" t="s">
        <v>43</v>
      </c>
      <c r="K19" s="1" t="s">
        <v>44</v>
      </c>
      <c r="L19" s="13">
        <v>0.05</v>
      </c>
      <c r="M19" t="str">
        <f>IF(Table1[[#This Row],[Total Amount]]=350,"True","False")</f>
        <v>False</v>
      </c>
    </row>
    <row r="20" spans="1:13" ht="12.6" customHeight="1" thickBot="1" x14ac:dyDescent="0.35">
      <c r="A20" s="3">
        <v>1019</v>
      </c>
      <c r="B20" s="1" t="s">
        <v>37</v>
      </c>
      <c r="C20" s="1" t="s">
        <v>12</v>
      </c>
      <c r="D20" s="1" t="s">
        <v>9</v>
      </c>
      <c r="E20" s="2">
        <v>7</v>
      </c>
      <c r="F20" s="2">
        <v>50</v>
      </c>
      <c r="G20" s="15">
        <f>Table1[[#This Row],[Quantity]]*Table1[[#This Row],[Price]]</f>
        <v>350</v>
      </c>
      <c r="H20" s="4" t="s">
        <v>13</v>
      </c>
      <c r="I20" s="12">
        <v>45420</v>
      </c>
      <c r="J20" s="1" t="s">
        <v>47</v>
      </c>
      <c r="K20" s="1" t="s">
        <v>44</v>
      </c>
      <c r="L20" s="13">
        <v>0.1</v>
      </c>
      <c r="M20" t="str">
        <f>IF(Table1[[#This Row],[Total Amount]]=350,"True","False")</f>
        <v>True</v>
      </c>
    </row>
    <row r="21" spans="1:13" ht="15" thickBot="1" x14ac:dyDescent="0.35">
      <c r="A21" s="8">
        <v>1020</v>
      </c>
      <c r="B21" s="9" t="s">
        <v>38</v>
      </c>
      <c r="C21" s="9" t="s">
        <v>15</v>
      </c>
      <c r="D21" s="9" t="s">
        <v>9</v>
      </c>
      <c r="E21" s="10">
        <v>3</v>
      </c>
      <c r="F21" s="10">
        <v>10</v>
      </c>
      <c r="G21" s="16">
        <f>Table1[[#This Row],[Quantity]]*Table1[[#This Row],[Price]]</f>
        <v>30</v>
      </c>
      <c r="H21" s="11" t="s">
        <v>16</v>
      </c>
      <c r="I21" s="14"/>
      <c r="J21" s="1" t="s">
        <v>45</v>
      </c>
      <c r="K21" s="1" t="s">
        <v>44</v>
      </c>
      <c r="L21" s="1"/>
      <c r="M21" t="str">
        <f>IF(Table1[[#This Row],[Total Amount]]=350,"True","False")</f>
        <v>False</v>
      </c>
    </row>
    <row r="25" spans="1:13" x14ac:dyDescent="0.3">
      <c r="D25" s="18" t="s">
        <v>50</v>
      </c>
      <c r="E25" t="s">
        <v>58</v>
      </c>
      <c r="F25" t="s">
        <v>59</v>
      </c>
      <c r="G25" t="s">
        <v>60</v>
      </c>
      <c r="H25" t="s">
        <v>62</v>
      </c>
    </row>
    <row r="26" spans="1:13" x14ac:dyDescent="0.3">
      <c r="D26" s="18" t="s">
        <v>52</v>
      </c>
      <c r="E26">
        <f>SUM(Table1[Total Amount])</f>
        <v>2450</v>
      </c>
      <c r="F26" s="20">
        <f>ROUND(Table2[[#This Row],[Column2]],1)</f>
        <v>2450</v>
      </c>
      <c r="G26" s="20" t="str">
        <f>TEXT(Table2[[#This Row],[Column3]],"0.00")</f>
        <v>2450.00</v>
      </c>
      <c r="H26" s="20"/>
    </row>
    <row r="27" spans="1:13" x14ac:dyDescent="0.3">
      <c r="D27" s="18" t="s">
        <v>53</v>
      </c>
      <c r="E27" s="19">
        <f>AVERAGE(Table1[Total Amount])</f>
        <v>122.5</v>
      </c>
      <c r="F27" s="20">
        <f>ROUND(Table2[[#This Row],[Column2]],1)</f>
        <v>122.5</v>
      </c>
      <c r="G27" s="20" t="str">
        <f>TEXT(Table2[[#This Row],[Column3]],"0.00")</f>
        <v>122.50</v>
      </c>
      <c r="H27" s="20"/>
    </row>
    <row r="28" spans="1:13" x14ac:dyDescent="0.3">
      <c r="D28" s="18" t="s">
        <v>54</v>
      </c>
      <c r="E28">
        <f>COUNT(Table1[[#All],[Total Amount]])</f>
        <v>20</v>
      </c>
      <c r="F28" s="20">
        <f>ROUND(Table2[[#This Row],[Column2]],1)</f>
        <v>20</v>
      </c>
      <c r="G28" s="20" t="str">
        <f>TEXT(Table2[[#This Row],[Column3]],"0.00")</f>
        <v>20.00</v>
      </c>
      <c r="H28" s="20"/>
    </row>
    <row r="29" spans="1:13" x14ac:dyDescent="0.3">
      <c r="D29" s="18" t="s">
        <v>55</v>
      </c>
      <c r="E29">
        <f>MAX(Table1[Total Amount])</f>
        <v>350</v>
      </c>
      <c r="F29" s="20">
        <f>ROUND(Table2[[#This Row],[Column2]],1)</f>
        <v>350</v>
      </c>
      <c r="G29" s="20" t="str">
        <f>TEXT(Table2[[#This Row],[Column3]],"0.00")</f>
        <v>350.00</v>
      </c>
      <c r="H29" s="20"/>
    </row>
    <row r="30" spans="1:13" x14ac:dyDescent="0.3">
      <c r="D30" s="18" t="s">
        <v>56</v>
      </c>
      <c r="F30" s="20">
        <f>ROUND(Table2[[#This Row],[Column2]],1)</f>
        <v>0</v>
      </c>
      <c r="G30" s="20" t="str">
        <f>TEXT(Table2[[#This Row],[Column3]],"0.00")</f>
        <v>0.00</v>
      </c>
      <c r="H30" s="20" t="str" cm="1">
        <f t="array" ref="H30">INDEX(Table1[Customer Info],MATCH(MAX(Table1[Total Amount]),Table1[Total Amount],0),0)</f>
        <v>Lavanya | 9011223344</v>
      </c>
    </row>
    <row r="31" spans="1:13" x14ac:dyDescent="0.3">
      <c r="D31" s="18" t="s">
        <v>57</v>
      </c>
      <c r="E31">
        <f>MIN(Table1[Total Amount])</f>
        <v>0</v>
      </c>
      <c r="F31" s="20">
        <f>ROUND(Table2[[#This Row],[Column2]],1)</f>
        <v>0</v>
      </c>
      <c r="G31" s="20" t="str">
        <f>TEXT(Table2[[#This Row],[Column3]],"0.00")</f>
        <v>0.00</v>
      </c>
      <c r="H31" s="20"/>
    </row>
    <row r="32" spans="1:13" x14ac:dyDescent="0.3">
      <c r="D32" s="18" t="s">
        <v>61</v>
      </c>
      <c r="F32" s="20">
        <f>ROUND(Table2[[#This Row],[Column2]],1)</f>
        <v>0</v>
      </c>
    </row>
    <row r="33" spans="4:6" x14ac:dyDescent="0.3">
      <c r="D33" s="18"/>
      <c r="E33">
        <f>MAX(Table1[Quantity])</f>
        <v>10</v>
      </c>
      <c r="F33" s="20"/>
    </row>
    <row r="34" spans="4:6" x14ac:dyDescent="0.3">
      <c r="D34" t="str">
        <f>INDEX(Table1[Product],1)</f>
        <v>Pen</v>
      </c>
    </row>
    <row r="35" spans="4:6" x14ac:dyDescent="0.3">
      <c r="D35" s="18" t="s">
        <v>63</v>
      </c>
      <c r="E35" t="str" cm="1">
        <f t="array" ref="E35">INDEX(Table1[Customer Info],MATCH(MIN(Table1[Total Amount]),Table1[Total Amount],0),0)</f>
        <v>Sara | 9876501234</v>
      </c>
    </row>
    <row r="36" spans="4:6" x14ac:dyDescent="0.3">
      <c r="D36" s="18" t="s">
        <v>64</v>
      </c>
      <c r="E36" t="str">
        <f>INDEX(Table1[Product],MATCH(MIN(Table1[Quantity]),Table1[Quantity],0))</f>
        <v>Eraser</v>
      </c>
    </row>
  </sheetData>
  <phoneticPr fontId="3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495F-709E-4943-8475-09DD8BCA06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2026-04-22T05:02:36Z</dcterms:created>
  <dcterms:modified xsi:type="dcterms:W3CDTF">2026-04-22T07:28:36Z</dcterms:modified>
</cp:coreProperties>
</file>