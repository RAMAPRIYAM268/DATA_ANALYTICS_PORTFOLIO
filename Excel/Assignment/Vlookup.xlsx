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35DBFC7B-FBDC-48D5-95B6-BA2EA2541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  <sheet name="Program Fees" sheetId="3" r:id="rId2"/>
  </sheets>
  <definedNames>
    <definedName name="_xlnm._FilterDatabase" localSheetId="0" hidden="1">Students!$A$1:$I$289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2" i="1" l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4" i="1"/>
  <c r="F243" i="1"/>
  <c r="F244" i="1"/>
  <c r="F245" i="1"/>
  <c r="F246" i="1"/>
  <c r="F247" i="1"/>
  <c r="F248" i="1"/>
  <c r="F249" i="1"/>
  <c r="F250" i="1"/>
  <c r="F251" i="1"/>
  <c r="F252" i="1"/>
  <c r="F254" i="1"/>
  <c r="F253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4" i="1"/>
  <c r="F283" i="1"/>
  <c r="F285" i="1"/>
  <c r="F286" i="1"/>
  <c r="F152" i="1"/>
  <c r="F151" i="1"/>
  <c r="F287" i="1"/>
  <c r="F288" i="1"/>
  <c r="F289" i="1"/>
  <c r="F150" i="1"/>
  <c r="F147" i="1"/>
  <c r="F145" i="1"/>
  <c r="F143" i="1"/>
  <c r="F139" i="1"/>
  <c r="F140" i="1"/>
  <c r="F141" i="1"/>
  <c r="F142" i="1"/>
  <c r="F144" i="1"/>
  <c r="F146" i="1"/>
  <c r="F148" i="1"/>
  <c r="F149" i="1"/>
  <c r="F153" i="1"/>
  <c r="F155" i="1"/>
  <c r="F156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5" i="1"/>
  <c r="F126" i="1"/>
  <c r="F124" i="1"/>
  <c r="F121" i="1"/>
  <c r="F119" i="1"/>
  <c r="F109" i="1"/>
  <c r="F110" i="1"/>
  <c r="F111" i="1"/>
  <c r="F112" i="1"/>
  <c r="F113" i="1"/>
  <c r="F114" i="1"/>
  <c r="F115" i="1"/>
  <c r="F116" i="1"/>
  <c r="F117" i="1"/>
  <c r="F118" i="1"/>
  <c r="F120" i="1"/>
  <c r="F122" i="1"/>
  <c r="F123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5" i="1"/>
  <c r="F96" i="1"/>
  <c r="F94" i="1"/>
  <c r="F92" i="1"/>
  <c r="F93" i="1"/>
  <c r="F91" i="1"/>
  <c r="F90" i="1"/>
  <c r="F88" i="1"/>
  <c r="F89" i="1"/>
  <c r="F86" i="1"/>
  <c r="F87" i="1"/>
  <c r="F85" i="1"/>
  <c r="F79" i="1"/>
  <c r="F80" i="1"/>
  <c r="F81" i="1"/>
  <c r="F82" i="1"/>
  <c r="F83" i="1"/>
  <c r="F84" i="1"/>
  <c r="F78" i="1"/>
  <c r="F77" i="1"/>
  <c r="F72" i="1"/>
  <c r="F70" i="1"/>
  <c r="F71" i="1"/>
  <c r="F69" i="1"/>
  <c r="F68" i="1"/>
  <c r="F67" i="1"/>
  <c r="F64" i="1"/>
  <c r="F57" i="1"/>
  <c r="F58" i="1"/>
  <c r="F59" i="1"/>
  <c r="F60" i="1"/>
  <c r="F61" i="1"/>
  <c r="F62" i="1"/>
  <c r="F63" i="1"/>
  <c r="F65" i="1"/>
  <c r="F66" i="1"/>
  <c r="F73" i="1"/>
  <c r="F74" i="1"/>
  <c r="F75" i="1"/>
  <c r="F76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3" i="1"/>
  <c r="F34" i="1"/>
  <c r="F32" i="1"/>
  <c r="F30" i="1"/>
  <c r="F31" i="1"/>
  <c r="F29" i="1"/>
  <c r="F27" i="1"/>
  <c r="F28" i="1"/>
  <c r="F26" i="1"/>
  <c r="F23" i="1"/>
  <c r="F22" i="1"/>
  <c r="F21" i="1"/>
  <c r="F16" i="1"/>
  <c r="F17" i="1"/>
  <c r="F18" i="1"/>
  <c r="F19" i="1"/>
  <c r="F20" i="1"/>
  <c r="F24" i="1"/>
  <c r="F25" i="1"/>
  <c r="F15" i="1"/>
  <c r="F12" i="1"/>
  <c r="F14" i="1"/>
  <c r="F13" i="1"/>
  <c r="F11" i="1"/>
  <c r="F9" i="1"/>
  <c r="F3" i="1"/>
  <c r="F4" i="1"/>
  <c r="F5" i="1"/>
  <c r="F6" i="1"/>
  <c r="F7" i="1"/>
  <c r="F8" i="1"/>
  <c r="F10" i="1"/>
  <c r="F2" i="1"/>
</calcChain>
</file>

<file path=xl/sharedStrings.xml><?xml version="1.0" encoding="utf-8"?>
<sst xmlns="http://schemas.openxmlformats.org/spreadsheetml/2006/main" count="2050" uniqueCount="628">
  <si>
    <t>University ID</t>
  </si>
  <si>
    <t>Last Name</t>
  </si>
  <si>
    <t>First Name</t>
  </si>
  <si>
    <t>Program</t>
  </si>
  <si>
    <t>Prog Code</t>
  </si>
  <si>
    <t>Class</t>
  </si>
  <si>
    <t xml:space="preserve">FT/PT </t>
  </si>
  <si>
    <t>Kawamoto</t>
  </si>
  <si>
    <t>Motonari</t>
  </si>
  <si>
    <t>BL-BI</t>
  </si>
  <si>
    <t>Biology</t>
  </si>
  <si>
    <t>Senior</t>
  </si>
  <si>
    <t>Full time</t>
  </si>
  <si>
    <t>Niwa</t>
  </si>
  <si>
    <t>Romi</t>
  </si>
  <si>
    <t>BL-GEOL</t>
  </si>
  <si>
    <t>Geology</t>
  </si>
  <si>
    <t>Echevarría Agosto</t>
  </si>
  <si>
    <t>Raffi</t>
  </si>
  <si>
    <t>BL-BUS</t>
  </si>
  <si>
    <t>Business</t>
  </si>
  <si>
    <t>Sophomore</t>
  </si>
  <si>
    <t>Part time</t>
  </si>
  <si>
    <t>Cruz Alanis</t>
  </si>
  <si>
    <t>Jasper</t>
  </si>
  <si>
    <t>BL-MUS</t>
  </si>
  <si>
    <t>Music</t>
  </si>
  <si>
    <t>Masters</t>
  </si>
  <si>
    <t>Martinez</t>
  </si>
  <si>
    <t>Mary</t>
  </si>
  <si>
    <t>BL-EDUC</t>
  </si>
  <si>
    <t>Education</t>
  </si>
  <si>
    <t>Doctorate</t>
  </si>
  <si>
    <t>Cotto Alfaro</t>
  </si>
  <si>
    <t>Bernabé</t>
  </si>
  <si>
    <t>BL-JOUR</t>
  </si>
  <si>
    <t>Journalism</t>
  </si>
  <si>
    <t>Valles Amador</t>
  </si>
  <si>
    <t>Jeny</t>
  </si>
  <si>
    <t>BL-OPT</t>
  </si>
  <si>
    <t>Optometry</t>
  </si>
  <si>
    <t xml:space="preserve">Professional Fourth </t>
  </si>
  <si>
    <t>Rainey</t>
  </si>
  <si>
    <t>David</t>
  </si>
  <si>
    <t>Barraza Anguiano</t>
  </si>
  <si>
    <t>Lorujama</t>
  </si>
  <si>
    <t>BL-UDIV</t>
  </si>
  <si>
    <t>Nemoto</t>
  </si>
  <si>
    <t>Haruna</t>
  </si>
  <si>
    <t>Junior</t>
  </si>
  <si>
    <t>Abe</t>
  </si>
  <si>
    <t>Osami</t>
  </si>
  <si>
    <t>BL-AMID</t>
  </si>
  <si>
    <t>Lozano Aranda</t>
  </si>
  <si>
    <t>Amilcar</t>
  </si>
  <si>
    <t>BL-EALC</t>
  </si>
  <si>
    <t>Alva Arce</t>
  </si>
  <si>
    <t>Romelio</t>
  </si>
  <si>
    <t>Muñoz Arce</t>
  </si>
  <si>
    <t>Aurea</t>
  </si>
  <si>
    <t>BL-HPER</t>
  </si>
  <si>
    <t>Hernández Arteaga</t>
  </si>
  <si>
    <t>Zuleica</t>
  </si>
  <si>
    <t>BL-FINA</t>
  </si>
  <si>
    <t>Fine Arts</t>
  </si>
  <si>
    <t>Woosley</t>
  </si>
  <si>
    <t>Rebecca</t>
  </si>
  <si>
    <t>Asai</t>
  </si>
  <si>
    <t>Kiyotaka</t>
  </si>
  <si>
    <t>Takaki</t>
  </si>
  <si>
    <t>Rieka</t>
  </si>
  <si>
    <t>Vicente</t>
  </si>
  <si>
    <t>Cordova Avilés</t>
  </si>
  <si>
    <t>Nasha</t>
  </si>
  <si>
    <t>BL-CJUS</t>
  </si>
  <si>
    <t>Shaw</t>
  </si>
  <si>
    <t>Richard</t>
  </si>
  <si>
    <t>Tyler</t>
  </si>
  <si>
    <t>Ella</t>
  </si>
  <si>
    <t>Riddick</t>
  </si>
  <si>
    <t>Robert</t>
  </si>
  <si>
    <t>BL-INFO</t>
  </si>
  <si>
    <t>Informatics</t>
  </si>
  <si>
    <t>Hurtado Barela</t>
  </si>
  <si>
    <t>Dunstano</t>
  </si>
  <si>
    <t>BL-PSY</t>
  </si>
  <si>
    <t>Psychology</t>
  </si>
  <si>
    <t>Wester</t>
  </si>
  <si>
    <t>Lisa</t>
  </si>
  <si>
    <t>Hardin</t>
  </si>
  <si>
    <t>Lucien</t>
  </si>
  <si>
    <t>Chang</t>
  </si>
  <si>
    <t>Jacob</t>
  </si>
  <si>
    <t>Cervántez Benavidez</t>
  </si>
  <si>
    <t>Jovianne</t>
  </si>
  <si>
    <t>Connors</t>
  </si>
  <si>
    <t>April</t>
  </si>
  <si>
    <t>BL-SCS</t>
  </si>
  <si>
    <t>Undergrad Special</t>
  </si>
  <si>
    <t>Vasquez</t>
  </si>
  <si>
    <t>Geraldine</t>
  </si>
  <si>
    <t>Lucas</t>
  </si>
  <si>
    <t>Julio</t>
  </si>
  <si>
    <t>Hughes</t>
  </si>
  <si>
    <t>Peter</t>
  </si>
  <si>
    <t>BL-TELC</t>
  </si>
  <si>
    <t>Telecommunications</t>
  </si>
  <si>
    <t>Rosales</t>
  </si>
  <si>
    <t>Helen</t>
  </si>
  <si>
    <t>Monnin</t>
  </si>
  <si>
    <t>Carl</t>
  </si>
  <si>
    <t>Peachey</t>
  </si>
  <si>
    <t>Byron</t>
  </si>
  <si>
    <t>Henderson</t>
  </si>
  <si>
    <t>Lydia</t>
  </si>
  <si>
    <t>Fernandez</t>
  </si>
  <si>
    <t>Arthur</t>
  </si>
  <si>
    <t>Newman</t>
  </si>
  <si>
    <t>Bradley</t>
  </si>
  <si>
    <t>Fuller</t>
  </si>
  <si>
    <t>Jason</t>
  </si>
  <si>
    <t>Zavala Briones</t>
  </si>
  <si>
    <t>Barlaan</t>
  </si>
  <si>
    <t>Marchant</t>
  </si>
  <si>
    <t>Kurt</t>
  </si>
  <si>
    <t>Cordle</t>
  </si>
  <si>
    <t>Martha</t>
  </si>
  <si>
    <t>Gracia Bueno</t>
  </si>
  <si>
    <t>Quimey</t>
  </si>
  <si>
    <t>Jordan</t>
  </si>
  <si>
    <t>Dean</t>
  </si>
  <si>
    <t>Juan</t>
  </si>
  <si>
    <t>Stratz</t>
  </si>
  <si>
    <t>Gertrude</t>
  </si>
  <si>
    <t>Pabón Cabán</t>
  </si>
  <si>
    <t>Iguazel</t>
  </si>
  <si>
    <t>Montez Campos</t>
  </si>
  <si>
    <t>Alem</t>
  </si>
  <si>
    <t>Portillo Cano</t>
  </si>
  <si>
    <t>Natan</t>
  </si>
  <si>
    <t>Godfrey</t>
  </si>
  <si>
    <t>Shannon</t>
  </si>
  <si>
    <t>Huff</t>
  </si>
  <si>
    <t>Scott</t>
  </si>
  <si>
    <t>Black</t>
  </si>
  <si>
    <t>Billy</t>
  </si>
  <si>
    <t>BL-MATH</t>
  </si>
  <si>
    <t>Mathematics</t>
  </si>
  <si>
    <t>Matías Castellanos</t>
  </si>
  <si>
    <t>Vittorio</t>
  </si>
  <si>
    <t>Goolsby</t>
  </si>
  <si>
    <t>Ora</t>
  </si>
  <si>
    <t>BL-ANTH</t>
  </si>
  <si>
    <t>Anthropology</t>
  </si>
  <si>
    <t>Jackson</t>
  </si>
  <si>
    <t>Mindy</t>
  </si>
  <si>
    <t>Armijo Cazares</t>
  </si>
  <si>
    <t>Valderrama</t>
  </si>
  <si>
    <t>Caldera Ceballos</t>
  </si>
  <si>
    <t>Teseo</t>
  </si>
  <si>
    <t>BL-CMCL</t>
  </si>
  <si>
    <t>Amador Cedillo</t>
  </si>
  <si>
    <t>Bela</t>
  </si>
  <si>
    <t>BL-ARSC</t>
  </si>
  <si>
    <t>Foreman</t>
  </si>
  <si>
    <t>James</t>
  </si>
  <si>
    <t>BL-POLS</t>
  </si>
  <si>
    <t>Political Science</t>
  </si>
  <si>
    <t>Binette</t>
  </si>
  <si>
    <t>Daniel</t>
  </si>
  <si>
    <t>BL-LAWS</t>
  </si>
  <si>
    <t>Law</t>
  </si>
  <si>
    <t>Ma</t>
  </si>
  <si>
    <t>An</t>
  </si>
  <si>
    <t>Pan</t>
  </si>
  <si>
    <t>Cui</t>
  </si>
  <si>
    <t>BL-NELC</t>
  </si>
  <si>
    <t>Hsü</t>
  </si>
  <si>
    <t>Ping</t>
  </si>
  <si>
    <t>Jen</t>
  </si>
  <si>
    <t>Yao</t>
  </si>
  <si>
    <t>Shi</t>
  </si>
  <si>
    <t>K'ung</t>
  </si>
  <si>
    <t>Yue Wan</t>
  </si>
  <si>
    <t>Hou</t>
  </si>
  <si>
    <t>Lian</t>
  </si>
  <si>
    <t>Niita</t>
  </si>
  <si>
    <t>Ikkei</t>
  </si>
  <si>
    <t>Kelly</t>
  </si>
  <si>
    <t>Gloria</t>
  </si>
  <si>
    <t>BL-THTR</t>
  </si>
  <si>
    <t>Freshman</t>
  </si>
  <si>
    <t>Wu</t>
  </si>
  <si>
    <t>Dewei</t>
  </si>
  <si>
    <t>BL-DENT</t>
  </si>
  <si>
    <t>Liang</t>
  </si>
  <si>
    <t>Yue Yan</t>
  </si>
  <si>
    <t>Smith</t>
  </si>
  <si>
    <t>Dudley</t>
  </si>
  <si>
    <t>Ferro</t>
  </si>
  <si>
    <t>Susan</t>
  </si>
  <si>
    <t>BL-SPEA</t>
  </si>
  <si>
    <t>Perkins</t>
  </si>
  <si>
    <t>Mitchell</t>
  </si>
  <si>
    <t>Roldán Collado</t>
  </si>
  <si>
    <t>Sigfrido</t>
  </si>
  <si>
    <t>Lerma Collazo</t>
  </si>
  <si>
    <t>Davor</t>
  </si>
  <si>
    <t>Hoppenstedt</t>
  </si>
  <si>
    <t>Alberto</t>
  </si>
  <si>
    <t>BL-ENG</t>
  </si>
  <si>
    <t>English</t>
  </si>
  <si>
    <t>Inman</t>
  </si>
  <si>
    <t>Murrah</t>
  </si>
  <si>
    <t>Ruth</t>
  </si>
  <si>
    <t>Urrútia Colón</t>
  </si>
  <si>
    <t>Umberto</t>
  </si>
  <si>
    <t>Thibodeaux</t>
  </si>
  <si>
    <t>Diana</t>
  </si>
  <si>
    <t>Abrams</t>
  </si>
  <si>
    <t>Laura</t>
  </si>
  <si>
    <t>Harris</t>
  </si>
  <si>
    <t>Mathew</t>
  </si>
  <si>
    <t>Olmos Covas</t>
  </si>
  <si>
    <t>Diómedes</t>
  </si>
  <si>
    <t>Childers</t>
  </si>
  <si>
    <t>Corinne</t>
  </si>
  <si>
    <t>Certificate Grad</t>
  </si>
  <si>
    <t>Owens</t>
  </si>
  <si>
    <t>Maria</t>
  </si>
  <si>
    <t>Urwin</t>
  </si>
  <si>
    <t>Marie</t>
  </si>
  <si>
    <t>Gibson</t>
  </si>
  <si>
    <t>Bridgett</t>
  </si>
  <si>
    <t>Oike</t>
  </si>
  <si>
    <t>Takumi</t>
  </si>
  <si>
    <t>Miyabara</t>
  </si>
  <si>
    <t>Ayato</t>
  </si>
  <si>
    <t>Thomas</t>
  </si>
  <si>
    <t>Travis</t>
  </si>
  <si>
    <t>Brown</t>
  </si>
  <si>
    <t>Ashley</t>
  </si>
  <si>
    <t>Wine</t>
  </si>
  <si>
    <t>Lorraine</t>
  </si>
  <si>
    <t>Nguyen</t>
  </si>
  <si>
    <t>Lucia</t>
  </si>
  <si>
    <t>Stone</t>
  </si>
  <si>
    <t>Lori</t>
  </si>
  <si>
    <t>Hinds</t>
  </si>
  <si>
    <t>Audra</t>
  </si>
  <si>
    <t>Dueñas Delgado</t>
  </si>
  <si>
    <t>Juvencia</t>
  </si>
  <si>
    <t>Santillán Delgado</t>
  </si>
  <si>
    <t>Raimon</t>
  </si>
  <si>
    <t>Pantoja Domínguez</t>
  </si>
  <si>
    <t>Tania</t>
  </si>
  <si>
    <t>Bender</t>
  </si>
  <si>
    <t>George</t>
  </si>
  <si>
    <t>Guevara Echevarría</t>
  </si>
  <si>
    <t>Lewis</t>
  </si>
  <si>
    <t>Linwood</t>
  </si>
  <si>
    <t>Nolte</t>
  </si>
  <si>
    <t>Cristie</t>
  </si>
  <si>
    <t>BL-INMP</t>
  </si>
  <si>
    <t>Salinas Escamilla</t>
  </si>
  <si>
    <t>Emperatriz</t>
  </si>
  <si>
    <t>Moreno Escobar</t>
  </si>
  <si>
    <t>Lionela</t>
  </si>
  <si>
    <t>Ortiz Espinal</t>
  </si>
  <si>
    <t>Eurídice</t>
  </si>
  <si>
    <t>Chou</t>
  </si>
  <si>
    <t>Xue</t>
  </si>
  <si>
    <t>Professional Third Y</t>
  </si>
  <si>
    <t>Toombs</t>
  </si>
  <si>
    <t>Jonathan</t>
  </si>
  <si>
    <t>Cutler</t>
  </si>
  <si>
    <t>Michele</t>
  </si>
  <si>
    <t>Richardson</t>
  </si>
  <si>
    <t>Joseph</t>
  </si>
  <si>
    <t>Gangell</t>
  </si>
  <si>
    <t>Ethan</t>
  </si>
  <si>
    <t>Ts'ao</t>
  </si>
  <si>
    <t>Zhen</t>
  </si>
  <si>
    <t>Ch'en</t>
  </si>
  <si>
    <t>Lee</t>
  </si>
  <si>
    <t>Hu</t>
  </si>
  <si>
    <t>Jing</t>
  </si>
  <si>
    <t>Aizawa</t>
  </si>
  <si>
    <t>Chisano</t>
  </si>
  <si>
    <t>BL-SPAN</t>
  </si>
  <si>
    <t>Yamashita</t>
  </si>
  <si>
    <t>Tomoyo</t>
  </si>
  <si>
    <t>Miyashita</t>
  </si>
  <si>
    <t>Keiya</t>
  </si>
  <si>
    <t>Solorio Galarza</t>
  </si>
  <si>
    <t>Gianluca</t>
  </si>
  <si>
    <t>Rael Gallegos</t>
  </si>
  <si>
    <t>Ale</t>
  </si>
  <si>
    <t>Ceja Garica</t>
  </si>
  <si>
    <t>Hermógenes</t>
  </si>
  <si>
    <t>Tamayo Gastelum</t>
  </si>
  <si>
    <t>Reginaldo</t>
  </si>
  <si>
    <t>BL-SPHS</t>
  </si>
  <si>
    <t>Griego</t>
  </si>
  <si>
    <t>Jarrod</t>
  </si>
  <si>
    <t>Wilds</t>
  </si>
  <si>
    <t>Ray</t>
  </si>
  <si>
    <t>BL-SOC</t>
  </si>
  <si>
    <t>Patton</t>
  </si>
  <si>
    <t>Mario</t>
  </si>
  <si>
    <t>Hudson</t>
  </si>
  <si>
    <t>Martin</t>
  </si>
  <si>
    <t>Lonnie</t>
  </si>
  <si>
    <t>BL-SLIS</t>
  </si>
  <si>
    <t>Grad Special</t>
  </si>
  <si>
    <t>Mulkey</t>
  </si>
  <si>
    <t>Jeffrey</t>
  </si>
  <si>
    <t>Veitenheimer</t>
  </si>
  <si>
    <t>Lynn</t>
  </si>
  <si>
    <t>Associate Sophomore</t>
  </si>
  <si>
    <t>Bueno Guerrero</t>
  </si>
  <si>
    <t>Raymi</t>
  </si>
  <si>
    <t>BL-CHEM</t>
  </si>
  <si>
    <t>Portillo Guzmán</t>
  </si>
  <si>
    <t>Argentino</t>
  </si>
  <si>
    <t>Ch'iu</t>
  </si>
  <si>
    <t>Chen</t>
  </si>
  <si>
    <t>Riffle</t>
  </si>
  <si>
    <t>Hilaria</t>
  </si>
  <si>
    <t>Kahoun</t>
  </si>
  <si>
    <t>Fidel</t>
  </si>
  <si>
    <t>Meza</t>
  </si>
  <si>
    <t>Okamoto</t>
  </si>
  <si>
    <t>Ayu</t>
  </si>
  <si>
    <t>Holm</t>
  </si>
  <si>
    <t>Carol</t>
  </si>
  <si>
    <t>Rudy</t>
  </si>
  <si>
    <t>Chien</t>
  </si>
  <si>
    <t>Wen</t>
  </si>
  <si>
    <t>BL-CSCI</t>
  </si>
  <si>
    <t>Hsiao</t>
  </si>
  <si>
    <t>Jin</t>
  </si>
  <si>
    <t>Sun</t>
  </si>
  <si>
    <t>Huan Yue</t>
  </si>
  <si>
    <t>Pagan Hernádez</t>
  </si>
  <si>
    <t>Adriana</t>
  </si>
  <si>
    <t>Vigil Hernádez</t>
  </si>
  <si>
    <t>Emigdio</t>
  </si>
  <si>
    <t>Ruff</t>
  </si>
  <si>
    <t>Mamie</t>
  </si>
  <si>
    <t>Delorme</t>
  </si>
  <si>
    <t>Margaret</t>
  </si>
  <si>
    <t>Mclemore</t>
  </si>
  <si>
    <t>Nancy</t>
  </si>
  <si>
    <t>Pittman</t>
  </si>
  <si>
    <t>Raymond</t>
  </si>
  <si>
    <t>Jesse</t>
  </si>
  <si>
    <t>Mann</t>
  </si>
  <si>
    <t>Anthony</t>
  </si>
  <si>
    <t>Hernandez</t>
  </si>
  <si>
    <t>Betty</t>
  </si>
  <si>
    <t>Scheerer</t>
  </si>
  <si>
    <t>Sumner</t>
  </si>
  <si>
    <t>Roger</t>
  </si>
  <si>
    <t>Wilson</t>
  </si>
  <si>
    <t>Darrel</t>
  </si>
  <si>
    <t>Li Wei</t>
  </si>
  <si>
    <t>Chao</t>
  </si>
  <si>
    <t>Chan</t>
  </si>
  <si>
    <t>Chiang</t>
  </si>
  <si>
    <t>Rong</t>
  </si>
  <si>
    <t>Tang</t>
  </si>
  <si>
    <t>Li</t>
  </si>
  <si>
    <t>Lung</t>
  </si>
  <si>
    <t>Bo</t>
  </si>
  <si>
    <t>Sung</t>
  </si>
  <si>
    <t>BL-LING</t>
  </si>
  <si>
    <t>He</t>
  </si>
  <si>
    <t>Jun</t>
  </si>
  <si>
    <t>Yin</t>
  </si>
  <si>
    <t>Lin</t>
  </si>
  <si>
    <t>Yue Ying</t>
  </si>
  <si>
    <t>Tsou</t>
  </si>
  <si>
    <t>Ye</t>
  </si>
  <si>
    <t>Tao</t>
  </si>
  <si>
    <t>Kuan-Yin</t>
  </si>
  <si>
    <t>Kung</t>
  </si>
  <si>
    <t>Yue You</t>
  </si>
  <si>
    <t>Chin</t>
  </si>
  <si>
    <t>Rogers</t>
  </si>
  <si>
    <t>Ortiz</t>
  </si>
  <si>
    <t>Fernando</t>
  </si>
  <si>
    <t>Grillo</t>
  </si>
  <si>
    <t>Eugene</t>
  </si>
  <si>
    <t>Shing</t>
  </si>
  <si>
    <t>Fan</t>
  </si>
  <si>
    <t>Guan-yin</t>
  </si>
  <si>
    <t>Tsai</t>
  </si>
  <si>
    <t>Bi</t>
  </si>
  <si>
    <t>Tai</t>
  </si>
  <si>
    <t>Cheng</t>
  </si>
  <si>
    <t>Bouzuki</t>
  </si>
  <si>
    <t>Serino</t>
  </si>
  <si>
    <t>Mori</t>
  </si>
  <si>
    <t>Nao</t>
  </si>
  <si>
    <t>BL-INTL</t>
  </si>
  <si>
    <t>Fujikawa</t>
  </si>
  <si>
    <t>Shinsuke</t>
  </si>
  <si>
    <t>Hostetter</t>
  </si>
  <si>
    <t>Miyata</t>
  </si>
  <si>
    <t>Saaya</t>
  </si>
  <si>
    <t>Sugihara</t>
  </si>
  <si>
    <t>Shiyomi</t>
  </si>
  <si>
    <t>Navarro</t>
  </si>
  <si>
    <t>Joan</t>
  </si>
  <si>
    <t>Koga</t>
  </si>
  <si>
    <t>Risae</t>
  </si>
  <si>
    <t>Roldán Jasso</t>
  </si>
  <si>
    <t>Loreta</t>
  </si>
  <si>
    <t>Tseng</t>
  </si>
  <si>
    <t>Xia</t>
  </si>
  <si>
    <t>T'an</t>
  </si>
  <si>
    <t>Xin Qian</t>
  </si>
  <si>
    <t>Kirkendall</t>
  </si>
  <si>
    <t>Sikes</t>
  </si>
  <si>
    <t>Annabell</t>
  </si>
  <si>
    <t>Sanders</t>
  </si>
  <si>
    <t>Sarah</t>
  </si>
  <si>
    <t>Rice</t>
  </si>
  <si>
    <t>Russell</t>
  </si>
  <si>
    <t>BL-FOLK</t>
  </si>
  <si>
    <t>Mcwhorter</t>
  </si>
  <si>
    <t>Tommy</t>
  </si>
  <si>
    <t>Tada</t>
  </si>
  <si>
    <t>Kahoru</t>
  </si>
  <si>
    <t>Edwards</t>
  </si>
  <si>
    <t>Rose</t>
  </si>
  <si>
    <t>Hsia</t>
  </si>
  <si>
    <t>Kitano</t>
  </si>
  <si>
    <t>Natsuyo</t>
  </si>
  <si>
    <t>Kubo</t>
  </si>
  <si>
    <t>Sayo</t>
  </si>
  <si>
    <t>Kurata</t>
  </si>
  <si>
    <t>Chihoko</t>
  </si>
  <si>
    <t>Inglis</t>
  </si>
  <si>
    <t>Maurice</t>
  </si>
  <si>
    <t>Aoki</t>
  </si>
  <si>
    <t>Fuyuka</t>
  </si>
  <si>
    <t>Yen</t>
  </si>
  <si>
    <t>Ning</t>
  </si>
  <si>
    <t>BL-CMLT</t>
  </si>
  <si>
    <t>Tanikawa</t>
  </si>
  <si>
    <t>Shigeki</t>
  </si>
  <si>
    <t>BL-ECON</t>
  </si>
  <si>
    <t>Murai</t>
  </si>
  <si>
    <t>Ryuuji</t>
  </si>
  <si>
    <t>Sonoko</t>
  </si>
  <si>
    <t>Araki</t>
  </si>
  <si>
    <t>Kazuho</t>
  </si>
  <si>
    <t>Miyazaki</t>
  </si>
  <si>
    <t>Shiori</t>
  </si>
  <si>
    <t>Uchiumi</t>
  </si>
  <si>
    <t>Engo</t>
  </si>
  <si>
    <t>BL-HIST</t>
  </si>
  <si>
    <t>Takeda</t>
  </si>
  <si>
    <t>Ichirou</t>
  </si>
  <si>
    <t>Webb</t>
  </si>
  <si>
    <t>Sharon</t>
  </si>
  <si>
    <t>Arakaki</t>
  </si>
  <si>
    <t>Sachiko</t>
  </si>
  <si>
    <t>Miki</t>
  </si>
  <si>
    <t>Aiya</t>
  </si>
  <si>
    <t>Yuan</t>
  </si>
  <si>
    <t>Kojima</t>
  </si>
  <si>
    <t>Kiyo</t>
  </si>
  <si>
    <t>Wakabayashi</t>
  </si>
  <si>
    <t>Ikuya</t>
  </si>
  <si>
    <t>Fukumoto</t>
  </si>
  <si>
    <t>Misayo</t>
  </si>
  <si>
    <t>Cerda Laboy</t>
  </si>
  <si>
    <t>Matthew</t>
  </si>
  <si>
    <t>Pacheco Laboy</t>
  </si>
  <si>
    <t>Carissa</t>
  </si>
  <si>
    <t>Yüan</t>
  </si>
  <si>
    <t>Xia He</t>
  </si>
  <si>
    <t>Shih</t>
  </si>
  <si>
    <t>Sying</t>
  </si>
  <si>
    <t>Cloutier</t>
  </si>
  <si>
    <t>Carney</t>
  </si>
  <si>
    <t>Chase</t>
  </si>
  <si>
    <t>Castro</t>
  </si>
  <si>
    <t>Ellen</t>
  </si>
  <si>
    <t>González Lebrón</t>
  </si>
  <si>
    <t>Abner</t>
  </si>
  <si>
    <t>Hannon</t>
  </si>
  <si>
    <t>Natalie</t>
  </si>
  <si>
    <t>Phelps</t>
  </si>
  <si>
    <t>Leon</t>
  </si>
  <si>
    <t>Ko</t>
  </si>
  <si>
    <t>Hsin</t>
  </si>
  <si>
    <t>Ju</t>
  </si>
  <si>
    <t>P'an</t>
  </si>
  <si>
    <t>Cai</t>
  </si>
  <si>
    <t>Creager</t>
  </si>
  <si>
    <t>Gulbranson</t>
  </si>
  <si>
    <t>Carrera Linares</t>
  </si>
  <si>
    <t>Gladys</t>
  </si>
  <si>
    <t>Lemaire</t>
  </si>
  <si>
    <t>Lawrence</t>
  </si>
  <si>
    <t>Parker</t>
  </si>
  <si>
    <t>Beverly</t>
  </si>
  <si>
    <t>Mercedes</t>
  </si>
  <si>
    <t>Marshall</t>
  </si>
  <si>
    <t>Cornelia</t>
  </si>
  <si>
    <t>Gutiérrez Luna</t>
  </si>
  <si>
    <t>Filebert</t>
  </si>
  <si>
    <t>Hung</t>
  </si>
  <si>
    <t>Heng</t>
  </si>
  <si>
    <t>Liao</t>
  </si>
  <si>
    <t>On</t>
  </si>
  <si>
    <t>Nishizawa</t>
  </si>
  <si>
    <t>Kyouka</t>
  </si>
  <si>
    <t>Masuda</t>
  </si>
  <si>
    <t>Shigeko</t>
  </si>
  <si>
    <t>Kitajima</t>
  </si>
  <si>
    <t>Ikuo</t>
  </si>
  <si>
    <t>Mateo Maldonado</t>
  </si>
  <si>
    <t>Rosamunda</t>
  </si>
  <si>
    <t>Amaya Maldonado</t>
  </si>
  <si>
    <t>Ama</t>
  </si>
  <si>
    <t>Norman</t>
  </si>
  <si>
    <t>Charles</t>
  </si>
  <si>
    <t>BL-CLAS</t>
  </si>
  <si>
    <t>Yeh</t>
  </si>
  <si>
    <t>Xiong</t>
  </si>
  <si>
    <t>Carter</t>
  </si>
  <si>
    <t>Rivera</t>
  </si>
  <si>
    <t>Geneva</t>
  </si>
  <si>
    <t>BL-PHIL</t>
  </si>
  <si>
    <t>Stewart</t>
  </si>
  <si>
    <t>Lila</t>
  </si>
  <si>
    <t>Urías Marrero</t>
  </si>
  <si>
    <t>Glauc</t>
  </si>
  <si>
    <t>Sroka</t>
  </si>
  <si>
    <t>Shirley</t>
  </si>
  <si>
    <t>Hamasaki</t>
  </si>
  <si>
    <t>Keiji</t>
  </si>
  <si>
    <t>Ouchi</t>
  </si>
  <si>
    <t>Fumiko</t>
  </si>
  <si>
    <t>Yoshikazu</t>
  </si>
  <si>
    <t>Christman</t>
  </si>
  <si>
    <t>Morrison</t>
  </si>
  <si>
    <t>Douglas</t>
  </si>
  <si>
    <t>Howell</t>
  </si>
  <si>
    <t>Frank</t>
  </si>
  <si>
    <t>Trevino</t>
  </si>
  <si>
    <t>Paul</t>
  </si>
  <si>
    <t>Ulibarri Mejía</t>
  </si>
  <si>
    <t>Incul</t>
  </si>
  <si>
    <t>Ootsuki</t>
  </si>
  <si>
    <t>Jinya</t>
  </si>
  <si>
    <t>Dave</t>
  </si>
  <si>
    <t>Spencer</t>
  </si>
  <si>
    <t>Gerald</t>
  </si>
  <si>
    <t>Octavia</t>
  </si>
  <si>
    <t>Sauceda Miramontes</t>
  </si>
  <si>
    <t>Erico</t>
  </si>
  <si>
    <t>Shinoda</t>
  </si>
  <si>
    <t>Kiyoteru</t>
  </si>
  <si>
    <t>Gotou</t>
  </si>
  <si>
    <t>Hiroyuki</t>
  </si>
  <si>
    <t>Tokunaga</t>
  </si>
  <si>
    <t>Fuyuki</t>
  </si>
  <si>
    <t>Maeda</t>
  </si>
  <si>
    <t>Takeki</t>
  </si>
  <si>
    <t>Hoshi</t>
  </si>
  <si>
    <t>Mikako</t>
  </si>
  <si>
    <t>Longoria Molina</t>
  </si>
  <si>
    <t>Aline</t>
  </si>
  <si>
    <t>Galván Montemayor</t>
  </si>
  <si>
    <t>Landolfo</t>
  </si>
  <si>
    <t>Vallejo Mora</t>
  </si>
  <si>
    <t>Odila</t>
  </si>
  <si>
    <t>Boren</t>
  </si>
  <si>
    <t>Ethel</t>
  </si>
  <si>
    <t>Miyamoto</t>
  </si>
  <si>
    <t>Ayae</t>
  </si>
  <si>
    <t>Kitahara</t>
  </si>
  <si>
    <t>Yoshihiro</t>
  </si>
  <si>
    <t>Nelson</t>
  </si>
  <si>
    <t>Betsy</t>
  </si>
  <si>
    <t>Gonzales</t>
  </si>
  <si>
    <t>Lucille</t>
  </si>
  <si>
    <t>Katagiri</t>
  </si>
  <si>
    <t>Shiemi</t>
  </si>
  <si>
    <t>Mckinney</t>
  </si>
  <si>
    <t>Saavedra Muñoz</t>
  </si>
  <si>
    <t>Mirta</t>
  </si>
  <si>
    <t>Okada</t>
  </si>
  <si>
    <t>Tsuguto</t>
  </si>
  <si>
    <t>Montanez Murillo</t>
  </si>
  <si>
    <t>Mariana</t>
  </si>
  <si>
    <t>Fukuoka</t>
  </si>
  <si>
    <t>Kii</t>
  </si>
  <si>
    <t>Nishi</t>
  </si>
  <si>
    <t>Nonoe</t>
  </si>
  <si>
    <t>Shikikawa</t>
  </si>
  <si>
    <t>Mugito</t>
  </si>
  <si>
    <t>BL-REL</t>
  </si>
  <si>
    <t>Fees</t>
  </si>
  <si>
    <t>Fee</t>
  </si>
  <si>
    <t>off-campus</t>
  </si>
  <si>
    <t>Abernathy</t>
  </si>
  <si>
    <t>Carmichael</t>
  </si>
  <si>
    <t>Evers</t>
  </si>
  <si>
    <t>Seale</t>
  </si>
  <si>
    <t>Newton</t>
  </si>
  <si>
    <t>Wilkins</t>
  </si>
  <si>
    <t>King</t>
  </si>
  <si>
    <t>Residence Hall</t>
  </si>
  <si>
    <t>East Asian Language and Culture</t>
  </si>
  <si>
    <t>Communication</t>
  </si>
  <si>
    <t>Criminal Justice</t>
  </si>
  <si>
    <t>Health</t>
  </si>
  <si>
    <t>Public and Environmental Affairs</t>
  </si>
  <si>
    <t>Theatre</t>
  </si>
  <si>
    <t>Apparel Merchandising</t>
  </si>
  <si>
    <t>Subject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</si>
</sst>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0000000000"/>
    <numFmt numFmtId="166" formatCode="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0" fillId="0" borderId="0" xfId="1" applyFont="1"/>
    <xf numFmtId="165" fontId="0" fillId="0" borderId="0" xfId="0" applyNumberForma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6" fontId="0" fillId="0" borderId="1" xfId="0" applyNumberFormat="1" applyBorder="1" applyAlignment="1">
      <alignment horizontal="center"/>
    </xf>
    <xf numFmtId="0" fontId="0" fillId="0" borderId="1" xfId="0" applyBorder="1"/>
    <xf numFmtId="0" fontId="3" fillId="2" borderId="1" xfId="2" applyBorder="1"/>
    <xf numFmtId="0" fontId="3" fillId="2" borderId="1" xfId="2" applyBorder="1" applyAlignment="1">
      <alignment horizontal="center"/>
    </xf>
  </cellXfs>
  <cellStyles count="3">
    <cellStyle name="Currency" xfId="1" builtinId="4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tabSelected="1" zoomScale="71" workbookViewId="0">
      <selection activeCell="N248" sqref="N248"/>
    </sheetView>
  </sheetViews>
  <sheetFormatPr defaultRowHeight="14.4" x14ac:dyDescent="0.3"/>
  <cols>
    <col min="1" max="1" width="14.44140625" style="3" customWidth="1"/>
    <col min="2" max="2" width="19.6640625" bestFit="1" customWidth="1"/>
    <col min="3" max="3" width="15.33203125" bestFit="1" customWidth="1"/>
    <col min="4" max="4" width="12.109375" customWidth="1"/>
    <col min="5" max="5" width="22.88671875" customWidth="1"/>
    <col min="6" max="6" width="24.88671875" customWidth="1"/>
    <col min="7" max="7" width="20.44140625" bestFit="1" customWidth="1"/>
    <col min="8" max="8" width="10.88671875" bestFit="1" customWidth="1"/>
    <col min="9" max="9" width="14.109375" bestFit="1" customWidth="1"/>
  </cols>
  <sheetData>
    <row r="1" spans="1:9" s="1" customFormat="1" x14ac:dyDescent="0.3">
      <c r="A1" s="4" t="s">
        <v>0</v>
      </c>
      <c r="B1" s="5" t="s">
        <v>1</v>
      </c>
      <c r="C1" s="5" t="s">
        <v>2</v>
      </c>
      <c r="D1" s="5" t="s">
        <v>4</v>
      </c>
      <c r="E1" s="5" t="s">
        <v>627</v>
      </c>
      <c r="F1" s="8" t="s">
        <v>609</v>
      </c>
      <c r="G1" s="5" t="s">
        <v>5</v>
      </c>
      <c r="H1" s="5" t="s">
        <v>6</v>
      </c>
      <c r="I1" s="5" t="s">
        <v>619</v>
      </c>
    </row>
    <row r="2" spans="1:9" x14ac:dyDescent="0.3">
      <c r="A2" s="6">
        <v>9100</v>
      </c>
      <c r="B2" s="7" t="s">
        <v>7</v>
      </c>
      <c r="C2" s="7" t="s">
        <v>8</v>
      </c>
      <c r="D2" s="7" t="s">
        <v>9</v>
      </c>
      <c r="E2" s="7" t="s">
        <v>10</v>
      </c>
      <c r="F2" s="9">
        <f>VLOOKUP(E2,'Program Fees'!A2:B24,2,FALSE)</f>
        <v>27</v>
      </c>
      <c r="G2" s="7" t="s">
        <v>11</v>
      </c>
      <c r="H2" s="7" t="s">
        <v>12</v>
      </c>
      <c r="I2" s="7" t="s">
        <v>616</v>
      </c>
    </row>
    <row r="3" spans="1:9" x14ac:dyDescent="0.3">
      <c r="A3" s="6">
        <v>9101</v>
      </c>
      <c r="B3" s="7" t="s">
        <v>13</v>
      </c>
      <c r="C3" s="7" t="s">
        <v>14</v>
      </c>
      <c r="D3" s="7" t="s">
        <v>15</v>
      </c>
      <c r="E3" s="7" t="s">
        <v>16</v>
      </c>
      <c r="F3" s="9">
        <f>VLOOKUP(E3,'Program Fees'!A3:B25,2,FALSE)</f>
        <v>36</v>
      </c>
      <c r="G3" s="7" t="s">
        <v>11</v>
      </c>
      <c r="H3" s="7" t="s">
        <v>12</v>
      </c>
      <c r="I3" s="7" t="s">
        <v>618</v>
      </c>
    </row>
    <row r="4" spans="1:9" x14ac:dyDescent="0.3">
      <c r="A4" s="6">
        <v>9102</v>
      </c>
      <c r="B4" s="7" t="s">
        <v>17</v>
      </c>
      <c r="C4" s="7" t="s">
        <v>18</v>
      </c>
      <c r="D4" s="7" t="s">
        <v>19</v>
      </c>
      <c r="E4" s="7" t="s">
        <v>20</v>
      </c>
      <c r="F4" s="9">
        <f>VLOOKUP(E4,'Program Fees'!A4:B26,2,FALSE)</f>
        <v>86</v>
      </c>
      <c r="G4" s="7" t="s">
        <v>21</v>
      </c>
      <c r="H4" s="7" t="s">
        <v>22</v>
      </c>
      <c r="I4" s="7" t="s">
        <v>612</v>
      </c>
    </row>
    <row r="5" spans="1:9" x14ac:dyDescent="0.3">
      <c r="A5" s="6">
        <v>9103</v>
      </c>
      <c r="B5" s="7" t="s">
        <v>23</v>
      </c>
      <c r="C5" s="7" t="s">
        <v>24</v>
      </c>
      <c r="D5" s="7" t="s">
        <v>25</v>
      </c>
      <c r="E5" s="7" t="s">
        <v>26</v>
      </c>
      <c r="F5" s="9">
        <f>VLOOKUP(E5,'Program Fees'!A5:B27,2,FALSE)</f>
        <v>46</v>
      </c>
      <c r="G5" s="7" t="s">
        <v>27</v>
      </c>
      <c r="H5" s="7" t="s">
        <v>12</v>
      </c>
      <c r="I5" s="7" t="s">
        <v>612</v>
      </c>
    </row>
    <row r="6" spans="1:9" x14ac:dyDescent="0.3">
      <c r="A6" s="6">
        <v>9104</v>
      </c>
      <c r="B6" s="7" t="s">
        <v>28</v>
      </c>
      <c r="C6" s="7" t="s">
        <v>29</v>
      </c>
      <c r="D6" s="7" t="s">
        <v>30</v>
      </c>
      <c r="E6" s="7" t="s">
        <v>31</v>
      </c>
      <c r="F6" s="9">
        <f>VLOOKUP(E6,'Program Fees'!A6:B28,2,FALSE)</f>
        <v>74</v>
      </c>
      <c r="G6" s="7" t="s">
        <v>32</v>
      </c>
      <c r="H6" s="7" t="s">
        <v>12</v>
      </c>
      <c r="I6" s="7" t="s">
        <v>615</v>
      </c>
    </row>
    <row r="7" spans="1:9" x14ac:dyDescent="0.3">
      <c r="A7" s="6">
        <v>9105</v>
      </c>
      <c r="B7" s="7" t="s">
        <v>33</v>
      </c>
      <c r="C7" s="7" t="s">
        <v>34</v>
      </c>
      <c r="D7" s="7" t="s">
        <v>35</v>
      </c>
      <c r="E7" s="7" t="s">
        <v>36</v>
      </c>
      <c r="F7" s="9">
        <f>VLOOKUP(E7,'Program Fees'!A7:B29,2,FALSE)</f>
        <v>81</v>
      </c>
      <c r="G7" s="7" t="s">
        <v>11</v>
      </c>
      <c r="H7" s="7" t="s">
        <v>12</v>
      </c>
      <c r="I7" s="7" t="s">
        <v>613</v>
      </c>
    </row>
    <row r="8" spans="1:9" x14ac:dyDescent="0.3">
      <c r="A8" s="6">
        <v>9106</v>
      </c>
      <c r="B8" s="7" t="s">
        <v>37</v>
      </c>
      <c r="C8" s="7" t="s">
        <v>38</v>
      </c>
      <c r="D8" s="7" t="s">
        <v>39</v>
      </c>
      <c r="E8" s="7" t="s">
        <v>40</v>
      </c>
      <c r="F8" s="9">
        <f>VLOOKUP(E8,'Program Fees'!A8:B30,2,FALSE)</f>
        <v>75</v>
      </c>
      <c r="G8" s="7" t="s">
        <v>41</v>
      </c>
      <c r="H8" s="7" t="s">
        <v>12</v>
      </c>
      <c r="I8" s="7" t="s">
        <v>611</v>
      </c>
    </row>
    <row r="9" spans="1:9" x14ac:dyDescent="0.3">
      <c r="A9" s="6">
        <v>9107</v>
      </c>
      <c r="B9" s="7" t="s">
        <v>42</v>
      </c>
      <c r="C9" s="7" t="s">
        <v>43</v>
      </c>
      <c r="D9" s="7" t="s">
        <v>19</v>
      </c>
      <c r="E9" s="7" t="s">
        <v>20</v>
      </c>
      <c r="F9" s="9">
        <f>VLOOKUP(E9,'Program Fees'!A2:B24,2,)</f>
        <v>86</v>
      </c>
      <c r="G9" s="7" t="s">
        <v>11</v>
      </c>
      <c r="H9" s="7" t="s">
        <v>22</v>
      </c>
      <c r="I9" s="7" t="s">
        <v>615</v>
      </c>
    </row>
    <row r="10" spans="1:9" x14ac:dyDescent="0.3">
      <c r="A10" s="6">
        <v>9108</v>
      </c>
      <c r="B10" s="7" t="s">
        <v>44</v>
      </c>
      <c r="C10" s="7" t="s">
        <v>45</v>
      </c>
      <c r="D10" s="7" t="s">
        <v>46</v>
      </c>
      <c r="E10" s="7" t="s">
        <v>625</v>
      </c>
      <c r="F10" s="9">
        <f>VLOOKUP(E10,'Program Fees'!A10:B32,2,FALSE)</f>
        <v>64</v>
      </c>
      <c r="G10" s="7" t="s">
        <v>21</v>
      </c>
      <c r="H10" s="7" t="s">
        <v>12</v>
      </c>
      <c r="I10" s="7" t="s">
        <v>611</v>
      </c>
    </row>
    <row r="11" spans="1:9" x14ac:dyDescent="0.3">
      <c r="A11" s="6">
        <v>9109</v>
      </c>
      <c r="B11" s="7" t="s">
        <v>47</v>
      </c>
      <c r="C11" s="7" t="s">
        <v>48</v>
      </c>
      <c r="D11" s="7" t="s">
        <v>30</v>
      </c>
      <c r="E11" s="7" t="s">
        <v>31</v>
      </c>
      <c r="F11" s="9">
        <f>VLOOKUP(E11,'Program Fees'!A2:B24,2,FALSE)</f>
        <v>74</v>
      </c>
      <c r="G11" s="7" t="s">
        <v>49</v>
      </c>
      <c r="H11" s="7" t="s">
        <v>12</v>
      </c>
      <c r="I11" s="7" t="s">
        <v>154</v>
      </c>
    </row>
    <row r="12" spans="1:9" x14ac:dyDescent="0.3">
      <c r="A12" s="6">
        <v>9110</v>
      </c>
      <c r="B12" s="7" t="s">
        <v>50</v>
      </c>
      <c r="C12" s="7" t="s">
        <v>51</v>
      </c>
      <c r="D12" s="7" t="s">
        <v>52</v>
      </c>
      <c r="E12" s="7" t="s">
        <v>625</v>
      </c>
      <c r="F12" s="9">
        <f>VLOOKUP(E12,'Program Fees'!A2:B24,2,FALSE)</f>
        <v>64</v>
      </c>
      <c r="G12" s="7" t="s">
        <v>11</v>
      </c>
      <c r="H12" s="7" t="s">
        <v>12</v>
      </c>
      <c r="I12" s="7" t="s">
        <v>615</v>
      </c>
    </row>
    <row r="13" spans="1:9" x14ac:dyDescent="0.3">
      <c r="A13" s="6">
        <v>9111</v>
      </c>
      <c r="B13" s="7" t="s">
        <v>53</v>
      </c>
      <c r="C13" s="7" t="s">
        <v>54</v>
      </c>
      <c r="D13" s="7" t="s">
        <v>55</v>
      </c>
      <c r="E13" s="7" t="s">
        <v>31</v>
      </c>
      <c r="F13" s="9">
        <f>VLOOKUP(E13,'Program Fees'!A2:B24,2,FALSE)</f>
        <v>74</v>
      </c>
      <c r="G13" s="7" t="s">
        <v>49</v>
      </c>
      <c r="H13" s="7" t="s">
        <v>22</v>
      </c>
      <c r="I13" s="7" t="s">
        <v>614</v>
      </c>
    </row>
    <row r="14" spans="1:9" x14ac:dyDescent="0.3">
      <c r="A14" s="6">
        <v>9112</v>
      </c>
      <c r="B14" s="7" t="s">
        <v>56</v>
      </c>
      <c r="C14" s="7" t="s">
        <v>57</v>
      </c>
      <c r="D14" s="7" t="s">
        <v>30</v>
      </c>
      <c r="E14" s="7" t="s">
        <v>31</v>
      </c>
      <c r="F14" s="9">
        <f>VLOOKUP(E14,'Program Fees'!A2:B24,2,FALSE)</f>
        <v>74</v>
      </c>
      <c r="G14" s="7" t="s">
        <v>11</v>
      </c>
      <c r="H14" s="7" t="s">
        <v>12</v>
      </c>
      <c r="I14" s="7" t="s">
        <v>615</v>
      </c>
    </row>
    <row r="15" spans="1:9" x14ac:dyDescent="0.3">
      <c r="A15" s="6">
        <v>9113</v>
      </c>
      <c r="B15" s="7" t="s">
        <v>58</v>
      </c>
      <c r="C15" s="7" t="s">
        <v>59</v>
      </c>
      <c r="D15" s="7" t="s">
        <v>60</v>
      </c>
      <c r="E15" s="7" t="s">
        <v>623</v>
      </c>
      <c r="F15" s="9">
        <f>VLOOKUP(E15,'Program Fees'!A2:B24,2,FALSE)</f>
        <v>58</v>
      </c>
      <c r="G15" s="7" t="s">
        <v>21</v>
      </c>
      <c r="H15" s="7" t="s">
        <v>12</v>
      </c>
      <c r="I15" s="7" t="s">
        <v>616</v>
      </c>
    </row>
    <row r="16" spans="1:9" x14ac:dyDescent="0.3">
      <c r="A16" s="6">
        <v>9114</v>
      </c>
      <c r="B16" s="7" t="s">
        <v>61</v>
      </c>
      <c r="C16" s="7" t="s">
        <v>62</v>
      </c>
      <c r="D16" s="7" t="s">
        <v>63</v>
      </c>
      <c r="E16" s="7" t="s">
        <v>64</v>
      </c>
      <c r="F16" s="9">
        <f>VLOOKUP(E16,'Program Fees'!A3:B25,2,FALSE)</f>
        <v>49</v>
      </c>
      <c r="G16" s="7" t="s">
        <v>49</v>
      </c>
      <c r="H16" s="7" t="s">
        <v>12</v>
      </c>
      <c r="I16" s="7" t="s">
        <v>611</v>
      </c>
    </row>
    <row r="17" spans="1:9" x14ac:dyDescent="0.3">
      <c r="A17" s="6">
        <v>9115</v>
      </c>
      <c r="B17" s="7" t="s">
        <v>65</v>
      </c>
      <c r="C17" s="7" t="s">
        <v>66</v>
      </c>
      <c r="D17" s="7" t="s">
        <v>9</v>
      </c>
      <c r="E17" s="7" t="s">
        <v>623</v>
      </c>
      <c r="F17" s="9">
        <f>VLOOKUP(E17,'Program Fees'!A4:B26,2,FALSE)</f>
        <v>58</v>
      </c>
      <c r="G17" s="7" t="s">
        <v>21</v>
      </c>
      <c r="H17" s="7" t="s">
        <v>12</v>
      </c>
      <c r="I17" s="7" t="s">
        <v>614</v>
      </c>
    </row>
    <row r="18" spans="1:9" x14ac:dyDescent="0.3">
      <c r="A18" s="6">
        <v>9116</v>
      </c>
      <c r="B18" s="7" t="s">
        <v>67</v>
      </c>
      <c r="C18" s="7" t="s">
        <v>68</v>
      </c>
      <c r="D18" s="7" t="s">
        <v>35</v>
      </c>
      <c r="E18" s="7" t="s">
        <v>36</v>
      </c>
      <c r="F18" s="9">
        <f>VLOOKUP(E18,'Program Fees'!A5:B27,2,FALSE)</f>
        <v>81</v>
      </c>
      <c r="G18" s="7" t="s">
        <v>49</v>
      </c>
      <c r="H18" s="7" t="s">
        <v>12</v>
      </c>
      <c r="I18" s="7" t="s">
        <v>614</v>
      </c>
    </row>
    <row r="19" spans="1:9" x14ac:dyDescent="0.3">
      <c r="A19" s="6">
        <v>9117</v>
      </c>
      <c r="B19" s="7" t="s">
        <v>69</v>
      </c>
      <c r="C19" s="7" t="s">
        <v>70</v>
      </c>
      <c r="D19" s="7" t="s">
        <v>30</v>
      </c>
      <c r="E19" s="7" t="s">
        <v>31</v>
      </c>
      <c r="F19" s="9">
        <f>VLOOKUP(E19,'Program Fees'!A6:B28,2,FALSE)</f>
        <v>74</v>
      </c>
      <c r="G19" s="7" t="s">
        <v>49</v>
      </c>
      <c r="H19" s="7" t="s">
        <v>12</v>
      </c>
      <c r="I19" s="7" t="s">
        <v>613</v>
      </c>
    </row>
    <row r="20" spans="1:9" x14ac:dyDescent="0.3">
      <c r="A20" s="6">
        <v>9118</v>
      </c>
      <c r="B20" s="7" t="s">
        <v>71</v>
      </c>
      <c r="C20" s="7" t="s">
        <v>43</v>
      </c>
      <c r="D20" s="7" t="s">
        <v>25</v>
      </c>
      <c r="E20" s="7" t="s">
        <v>26</v>
      </c>
      <c r="F20" s="9">
        <f>VLOOKUP(E20,'Program Fees'!A7:B29,2,FALSE)</f>
        <v>46</v>
      </c>
      <c r="G20" s="7" t="s">
        <v>49</v>
      </c>
      <c r="H20" s="7" t="s">
        <v>12</v>
      </c>
      <c r="I20" s="7" t="s">
        <v>154</v>
      </c>
    </row>
    <row r="21" spans="1:9" x14ac:dyDescent="0.3">
      <c r="A21" s="6">
        <v>9119</v>
      </c>
      <c r="B21" s="7" t="s">
        <v>72</v>
      </c>
      <c r="C21" s="7" t="s">
        <v>73</v>
      </c>
      <c r="D21" s="7" t="s">
        <v>74</v>
      </c>
      <c r="E21" s="7" t="s">
        <v>622</v>
      </c>
      <c r="F21" s="9">
        <f>VLOOKUP(E21,'Program Fees'!A2:B24,2,FALSE)</f>
        <v>60</v>
      </c>
      <c r="G21" s="7" t="s">
        <v>49</v>
      </c>
      <c r="H21" s="7" t="s">
        <v>12</v>
      </c>
      <c r="I21" s="7" t="s">
        <v>618</v>
      </c>
    </row>
    <row r="22" spans="1:9" x14ac:dyDescent="0.3">
      <c r="A22" s="6">
        <v>9120</v>
      </c>
      <c r="B22" s="7" t="s">
        <v>75</v>
      </c>
      <c r="C22" s="7" t="s">
        <v>76</v>
      </c>
      <c r="D22" s="7" t="s">
        <v>9</v>
      </c>
      <c r="E22" s="7" t="s">
        <v>10</v>
      </c>
      <c r="F22" s="9">
        <f>VLOOKUP(E22,'Program Fees'!A2:B24,2,FALSE)</f>
        <v>27</v>
      </c>
      <c r="G22" s="7" t="s">
        <v>49</v>
      </c>
      <c r="H22" s="7" t="s">
        <v>12</v>
      </c>
      <c r="I22" s="7" t="s">
        <v>611</v>
      </c>
    </row>
    <row r="23" spans="1:9" x14ac:dyDescent="0.3">
      <c r="A23" s="6">
        <v>9121</v>
      </c>
      <c r="B23" s="7" t="s">
        <v>77</v>
      </c>
      <c r="C23" s="7" t="s">
        <v>78</v>
      </c>
      <c r="D23" s="7" t="s">
        <v>19</v>
      </c>
      <c r="E23" s="7" t="s">
        <v>20</v>
      </c>
      <c r="F23" s="9">
        <f>VLOOKUP(E23,'Program Fees'!A2:B24,2,FALSE)</f>
        <v>86</v>
      </c>
      <c r="G23" s="7" t="s">
        <v>21</v>
      </c>
      <c r="H23" s="7" t="s">
        <v>12</v>
      </c>
      <c r="I23" s="7" t="s">
        <v>613</v>
      </c>
    </row>
    <row r="24" spans="1:9" x14ac:dyDescent="0.3">
      <c r="A24" s="6">
        <v>9122</v>
      </c>
      <c r="B24" s="7" t="s">
        <v>79</v>
      </c>
      <c r="C24" s="7" t="s">
        <v>80</v>
      </c>
      <c r="D24" s="7" t="s">
        <v>81</v>
      </c>
      <c r="E24" s="7" t="s">
        <v>82</v>
      </c>
      <c r="F24" s="9">
        <f>VLOOKUP(E24,'Program Fees'!A11:B33,2,FALSE)</f>
        <v>85</v>
      </c>
      <c r="G24" s="7" t="s">
        <v>49</v>
      </c>
      <c r="H24" s="7" t="s">
        <v>22</v>
      </c>
      <c r="I24" s="7" t="s">
        <v>614</v>
      </c>
    </row>
    <row r="25" spans="1:9" x14ac:dyDescent="0.3">
      <c r="A25" s="6">
        <v>9123</v>
      </c>
      <c r="B25" s="7" t="s">
        <v>83</v>
      </c>
      <c r="C25" s="7" t="s">
        <v>84</v>
      </c>
      <c r="D25" s="7" t="s">
        <v>85</v>
      </c>
      <c r="E25" s="7" t="s">
        <v>86</v>
      </c>
      <c r="F25" s="9">
        <f>VLOOKUP(E25,'Program Fees'!A12:B34,2,FALSE)</f>
        <v>24</v>
      </c>
      <c r="G25" s="7" t="s">
        <v>11</v>
      </c>
      <c r="H25" s="7" t="s">
        <v>12</v>
      </c>
      <c r="I25" s="7" t="s">
        <v>612</v>
      </c>
    </row>
    <row r="26" spans="1:9" x14ac:dyDescent="0.3">
      <c r="A26" s="6">
        <v>9124</v>
      </c>
      <c r="B26" s="7" t="s">
        <v>87</v>
      </c>
      <c r="C26" s="7" t="s">
        <v>88</v>
      </c>
      <c r="D26" s="7" t="s">
        <v>19</v>
      </c>
      <c r="E26" s="7" t="s">
        <v>20</v>
      </c>
      <c r="F26" s="9">
        <f>VLOOKUP(E26,'Program Fees'!A2:B24,2,FALSE)</f>
        <v>86</v>
      </c>
      <c r="G26" s="7" t="s">
        <v>49</v>
      </c>
      <c r="H26" s="7" t="s">
        <v>12</v>
      </c>
      <c r="I26" s="7" t="s">
        <v>615</v>
      </c>
    </row>
    <row r="27" spans="1:9" x14ac:dyDescent="0.3">
      <c r="A27" s="6">
        <v>9125</v>
      </c>
      <c r="B27" s="7" t="s">
        <v>89</v>
      </c>
      <c r="C27" s="7" t="s">
        <v>90</v>
      </c>
      <c r="D27" s="7" t="s">
        <v>85</v>
      </c>
      <c r="E27" s="7" t="s">
        <v>86</v>
      </c>
      <c r="F27" s="9">
        <f>VLOOKUP(E27,'Program Fees'!A2:B24,2,FALSE)</f>
        <v>24</v>
      </c>
      <c r="G27" s="7" t="s">
        <v>11</v>
      </c>
      <c r="H27" s="7" t="s">
        <v>12</v>
      </c>
      <c r="I27" s="7" t="s">
        <v>618</v>
      </c>
    </row>
    <row r="28" spans="1:9" x14ac:dyDescent="0.3">
      <c r="A28" s="6">
        <v>9126</v>
      </c>
      <c r="B28" s="7" t="s">
        <v>91</v>
      </c>
      <c r="C28" s="7" t="s">
        <v>92</v>
      </c>
      <c r="D28" s="7" t="s">
        <v>63</v>
      </c>
      <c r="E28" s="7" t="s">
        <v>64</v>
      </c>
      <c r="F28" s="9">
        <f>VLOOKUP(E28,'Program Fees'!A2:B24,2,FALSE)</f>
        <v>49</v>
      </c>
      <c r="G28" s="7" t="s">
        <v>11</v>
      </c>
      <c r="H28" s="7" t="s">
        <v>22</v>
      </c>
      <c r="I28" s="7" t="s">
        <v>615</v>
      </c>
    </row>
    <row r="29" spans="1:9" x14ac:dyDescent="0.3">
      <c r="A29" s="6">
        <v>9127</v>
      </c>
      <c r="B29" s="7" t="s">
        <v>93</v>
      </c>
      <c r="C29" s="7" t="s">
        <v>94</v>
      </c>
      <c r="D29" s="7" t="s">
        <v>30</v>
      </c>
      <c r="E29" s="7" t="s">
        <v>31</v>
      </c>
      <c r="F29" s="9">
        <f>VLOOKUP(E29,'Program Fees'!A2:B24,2,FALSE)</f>
        <v>74</v>
      </c>
      <c r="G29" s="7" t="s">
        <v>11</v>
      </c>
      <c r="H29" s="7" t="s">
        <v>12</v>
      </c>
      <c r="I29" s="7" t="s">
        <v>618</v>
      </c>
    </row>
    <row r="30" spans="1:9" x14ac:dyDescent="0.3">
      <c r="A30" s="6">
        <v>9128</v>
      </c>
      <c r="B30" s="7" t="s">
        <v>95</v>
      </c>
      <c r="C30" s="7" t="s">
        <v>96</v>
      </c>
      <c r="D30" s="7" t="s">
        <v>97</v>
      </c>
      <c r="E30" s="7" t="s">
        <v>26</v>
      </c>
      <c r="F30" s="9">
        <f>VLOOKUP(E30,'Program Fees'!A2:B24,2,FALSE)</f>
        <v>46</v>
      </c>
      <c r="G30" s="7" t="s">
        <v>98</v>
      </c>
      <c r="H30" s="7" t="s">
        <v>22</v>
      </c>
      <c r="I30" s="7" t="s">
        <v>616</v>
      </c>
    </row>
    <row r="31" spans="1:9" x14ac:dyDescent="0.3">
      <c r="A31" s="6">
        <v>9129</v>
      </c>
      <c r="B31" s="7" t="s">
        <v>99</v>
      </c>
      <c r="C31" s="7" t="s">
        <v>100</v>
      </c>
      <c r="D31" s="7" t="s">
        <v>19</v>
      </c>
      <c r="E31" s="7" t="s">
        <v>20</v>
      </c>
      <c r="F31" s="9">
        <f>VLOOKUP(E31,'Program Fees'!A2:B24,2,FALSE)</f>
        <v>86</v>
      </c>
      <c r="G31" s="7" t="s">
        <v>21</v>
      </c>
      <c r="H31" s="7" t="s">
        <v>12</v>
      </c>
      <c r="I31" s="7" t="s">
        <v>615</v>
      </c>
    </row>
    <row r="32" spans="1:9" x14ac:dyDescent="0.3">
      <c r="A32" s="6">
        <v>9130</v>
      </c>
      <c r="B32" s="7" t="s">
        <v>101</v>
      </c>
      <c r="C32" s="7" t="s">
        <v>102</v>
      </c>
      <c r="D32" s="7" t="s">
        <v>19</v>
      </c>
      <c r="E32" s="7" t="s">
        <v>20</v>
      </c>
      <c r="F32" s="9">
        <f>VLOOKUP(E32,'Program Fees'!A2:B24,2,FALSE)</f>
        <v>86</v>
      </c>
      <c r="G32" s="7" t="s">
        <v>11</v>
      </c>
      <c r="H32" s="7" t="s">
        <v>12</v>
      </c>
      <c r="I32" s="7" t="s">
        <v>615</v>
      </c>
    </row>
    <row r="33" spans="1:9" x14ac:dyDescent="0.3">
      <c r="A33" s="6">
        <v>9131</v>
      </c>
      <c r="B33" s="7" t="s">
        <v>103</v>
      </c>
      <c r="C33" s="7" t="s">
        <v>104</v>
      </c>
      <c r="D33" s="7" t="s">
        <v>105</v>
      </c>
      <c r="E33" s="7" t="s">
        <v>106</v>
      </c>
      <c r="F33" s="9">
        <f>VLOOKUP(E33,'Program Fees'!A2:B24,2,FALSE)</f>
        <v>41</v>
      </c>
      <c r="G33" s="7" t="s">
        <v>11</v>
      </c>
      <c r="H33" s="7" t="s">
        <v>12</v>
      </c>
      <c r="I33" s="7" t="s">
        <v>611</v>
      </c>
    </row>
    <row r="34" spans="1:9" x14ac:dyDescent="0.3">
      <c r="A34" s="6">
        <v>9132</v>
      </c>
      <c r="B34" s="7" t="s">
        <v>107</v>
      </c>
      <c r="C34" s="7" t="s">
        <v>108</v>
      </c>
      <c r="D34" s="7" t="s">
        <v>60</v>
      </c>
      <c r="E34" s="7" t="s">
        <v>623</v>
      </c>
      <c r="F34" s="9">
        <f>VLOOKUP(E34,'Program Fees'!A2:B24,2,FALSE)</f>
        <v>58</v>
      </c>
      <c r="G34" s="7" t="s">
        <v>21</v>
      </c>
      <c r="H34" s="7" t="s">
        <v>12</v>
      </c>
      <c r="I34" s="7" t="s">
        <v>614</v>
      </c>
    </row>
    <row r="35" spans="1:9" x14ac:dyDescent="0.3">
      <c r="A35" s="6">
        <v>9133</v>
      </c>
      <c r="B35" s="7" t="s">
        <v>109</v>
      </c>
      <c r="C35" s="7" t="s">
        <v>110</v>
      </c>
      <c r="D35" s="7" t="s">
        <v>63</v>
      </c>
      <c r="E35" s="7" t="s">
        <v>64</v>
      </c>
      <c r="F35" s="9">
        <f>VLOOKUP(E35,'Program Fees'!A2:B24,2,FALSE)</f>
        <v>49</v>
      </c>
      <c r="G35" s="7" t="s">
        <v>21</v>
      </c>
      <c r="H35" s="7" t="s">
        <v>12</v>
      </c>
      <c r="I35" s="7" t="s">
        <v>613</v>
      </c>
    </row>
    <row r="36" spans="1:9" x14ac:dyDescent="0.3">
      <c r="A36" s="6">
        <v>9134</v>
      </c>
      <c r="B36" s="7" t="s">
        <v>111</v>
      </c>
      <c r="C36" s="7" t="s">
        <v>112</v>
      </c>
      <c r="D36" s="7" t="s">
        <v>9</v>
      </c>
      <c r="E36" s="7" t="s">
        <v>10</v>
      </c>
      <c r="F36" s="9">
        <f>VLOOKUP(E36,'Program Fees'!A2:B24,2,FALSE)</f>
        <v>27</v>
      </c>
      <c r="G36" s="7" t="s">
        <v>49</v>
      </c>
      <c r="H36" s="7" t="s">
        <v>22</v>
      </c>
      <c r="I36" s="7" t="s">
        <v>154</v>
      </c>
    </row>
    <row r="37" spans="1:9" x14ac:dyDescent="0.3">
      <c r="A37" s="6">
        <v>9135</v>
      </c>
      <c r="B37" s="7" t="s">
        <v>113</v>
      </c>
      <c r="C37" s="7" t="s">
        <v>114</v>
      </c>
      <c r="D37" s="7" t="s">
        <v>19</v>
      </c>
      <c r="E37" s="7" t="s">
        <v>20</v>
      </c>
      <c r="F37" s="9">
        <f>VLOOKUP(E37,'Program Fees'!A2:B24,2,FALSE)</f>
        <v>86</v>
      </c>
      <c r="G37" s="7" t="s">
        <v>27</v>
      </c>
      <c r="H37" s="7" t="s">
        <v>12</v>
      </c>
      <c r="I37" s="7" t="s">
        <v>611</v>
      </c>
    </row>
    <row r="38" spans="1:9" x14ac:dyDescent="0.3">
      <c r="A38" s="6">
        <v>9136</v>
      </c>
      <c r="B38" s="7" t="s">
        <v>115</v>
      </c>
      <c r="C38" s="7" t="s">
        <v>116</v>
      </c>
      <c r="D38" s="7" t="s">
        <v>19</v>
      </c>
      <c r="E38" s="7" t="s">
        <v>20</v>
      </c>
      <c r="F38" s="9">
        <f>VLOOKUP(E38,'Program Fees'!A2:B24,2,FALSE)</f>
        <v>86</v>
      </c>
      <c r="G38" s="7" t="s">
        <v>27</v>
      </c>
      <c r="H38" s="7" t="s">
        <v>12</v>
      </c>
      <c r="I38" s="7" t="s">
        <v>613</v>
      </c>
    </row>
    <row r="39" spans="1:9" x14ac:dyDescent="0.3">
      <c r="A39" s="6">
        <v>9137</v>
      </c>
      <c r="B39" s="7" t="s">
        <v>117</v>
      </c>
      <c r="C39" s="7" t="s">
        <v>118</v>
      </c>
      <c r="D39" s="7" t="s">
        <v>52</v>
      </c>
      <c r="E39" s="7" t="s">
        <v>626</v>
      </c>
      <c r="F39" s="9">
        <f>VLOOKUP(E39,'Program Fees'!A2:B24,2,FALSE)</f>
        <v>25</v>
      </c>
      <c r="G39" s="7" t="s">
        <v>21</v>
      </c>
      <c r="H39" s="7" t="s">
        <v>12</v>
      </c>
      <c r="I39" s="7" t="s">
        <v>618</v>
      </c>
    </row>
    <row r="40" spans="1:9" x14ac:dyDescent="0.3">
      <c r="A40" s="6">
        <v>9138</v>
      </c>
      <c r="B40" s="7" t="s">
        <v>119</v>
      </c>
      <c r="C40" s="7" t="s">
        <v>120</v>
      </c>
      <c r="D40" s="7" t="s">
        <v>19</v>
      </c>
      <c r="E40" s="7" t="s">
        <v>20</v>
      </c>
      <c r="F40" s="9">
        <f>VLOOKUP(E40,'Program Fees'!A2:B24,2,FALSE)</f>
        <v>86</v>
      </c>
      <c r="G40" s="7" t="s">
        <v>11</v>
      </c>
      <c r="H40" s="7" t="s">
        <v>12</v>
      </c>
      <c r="I40" s="7" t="s">
        <v>613</v>
      </c>
    </row>
    <row r="41" spans="1:9" x14ac:dyDescent="0.3">
      <c r="A41" s="6">
        <v>9139</v>
      </c>
      <c r="B41" s="7" t="s">
        <v>121</v>
      </c>
      <c r="C41" s="7" t="s">
        <v>122</v>
      </c>
      <c r="D41" s="7" t="s">
        <v>55</v>
      </c>
      <c r="E41" s="7" t="s">
        <v>31</v>
      </c>
      <c r="F41" s="9">
        <f>VLOOKUP(E41,'Program Fees'!A2:B24,2,FALSE)</f>
        <v>74</v>
      </c>
      <c r="G41" s="7" t="s">
        <v>21</v>
      </c>
      <c r="H41" s="7" t="s">
        <v>22</v>
      </c>
      <c r="I41" s="7" t="s">
        <v>612</v>
      </c>
    </row>
    <row r="42" spans="1:9" x14ac:dyDescent="0.3">
      <c r="A42" s="6">
        <v>9140</v>
      </c>
      <c r="B42" s="7" t="s">
        <v>123</v>
      </c>
      <c r="C42" s="7" t="s">
        <v>124</v>
      </c>
      <c r="D42" s="7" t="s">
        <v>60</v>
      </c>
      <c r="E42" s="7" t="s">
        <v>623</v>
      </c>
      <c r="F42" s="9">
        <f>VLOOKUP(E42,'Program Fees'!A2:B24,2,FALSE)</f>
        <v>58</v>
      </c>
      <c r="G42" s="7" t="s">
        <v>11</v>
      </c>
      <c r="H42" s="7" t="s">
        <v>12</v>
      </c>
      <c r="I42" s="7" t="s">
        <v>615</v>
      </c>
    </row>
    <row r="43" spans="1:9" x14ac:dyDescent="0.3">
      <c r="A43" s="6">
        <v>9141</v>
      </c>
      <c r="B43" s="7" t="s">
        <v>125</v>
      </c>
      <c r="C43" s="7" t="s">
        <v>126</v>
      </c>
      <c r="D43" s="7" t="s">
        <v>30</v>
      </c>
      <c r="E43" s="7" t="s">
        <v>31</v>
      </c>
      <c r="F43" s="9">
        <f>VLOOKUP(E43,'Program Fees'!A2:B24,2,FALSE)</f>
        <v>74</v>
      </c>
      <c r="G43" s="7" t="s">
        <v>21</v>
      </c>
      <c r="H43" s="7" t="s">
        <v>12</v>
      </c>
      <c r="I43" s="7" t="s">
        <v>616</v>
      </c>
    </row>
    <row r="44" spans="1:9" x14ac:dyDescent="0.3">
      <c r="A44" s="6">
        <v>9142</v>
      </c>
      <c r="B44" s="7" t="s">
        <v>127</v>
      </c>
      <c r="C44" s="7" t="s">
        <v>128</v>
      </c>
      <c r="D44" s="7" t="s">
        <v>9</v>
      </c>
      <c r="E44" s="7" t="s">
        <v>10</v>
      </c>
      <c r="F44" s="9">
        <f>VLOOKUP(E44,'Program Fees'!A2:B24,2,FALSE)</f>
        <v>27</v>
      </c>
      <c r="G44" s="7" t="s">
        <v>11</v>
      </c>
      <c r="H44" s="7" t="s">
        <v>12</v>
      </c>
      <c r="I44" s="7" t="s">
        <v>617</v>
      </c>
    </row>
    <row r="45" spans="1:9" x14ac:dyDescent="0.3">
      <c r="A45" s="6">
        <v>9143</v>
      </c>
      <c r="B45" s="7" t="s">
        <v>129</v>
      </c>
      <c r="C45" s="7" t="s">
        <v>80</v>
      </c>
      <c r="D45" s="7" t="s">
        <v>52</v>
      </c>
      <c r="E45" s="7" t="s">
        <v>626</v>
      </c>
      <c r="F45" s="9">
        <f>VLOOKUP(E45,'Program Fees'!A2:B24,2,FALSE)</f>
        <v>25</v>
      </c>
      <c r="G45" s="7" t="s">
        <v>49</v>
      </c>
      <c r="H45" s="7" t="s">
        <v>12</v>
      </c>
      <c r="I45" s="7" t="s">
        <v>154</v>
      </c>
    </row>
    <row r="46" spans="1:9" x14ac:dyDescent="0.3">
      <c r="A46" s="6">
        <v>9144</v>
      </c>
      <c r="B46" s="7" t="s">
        <v>130</v>
      </c>
      <c r="C46" s="7" t="s">
        <v>131</v>
      </c>
      <c r="D46" s="7" t="s">
        <v>30</v>
      </c>
      <c r="E46" s="7" t="s">
        <v>31</v>
      </c>
      <c r="F46" s="9">
        <f>VLOOKUP(E46,'Program Fees'!A2:B24,2,FALSE)</f>
        <v>74</v>
      </c>
      <c r="G46" s="7" t="s">
        <v>11</v>
      </c>
      <c r="H46" s="7" t="s">
        <v>12</v>
      </c>
      <c r="I46" s="7" t="s">
        <v>616</v>
      </c>
    </row>
    <row r="47" spans="1:9" x14ac:dyDescent="0.3">
      <c r="A47" s="6">
        <v>9145</v>
      </c>
      <c r="B47" s="7" t="s">
        <v>132</v>
      </c>
      <c r="C47" s="7" t="s">
        <v>133</v>
      </c>
      <c r="D47" s="7" t="s">
        <v>46</v>
      </c>
      <c r="E47" s="7" t="s">
        <v>625</v>
      </c>
      <c r="F47" s="9">
        <f>VLOOKUP(E47,'Program Fees'!A2:B24,2,FALSE)</f>
        <v>64</v>
      </c>
      <c r="G47" s="7" t="s">
        <v>21</v>
      </c>
      <c r="H47" s="7" t="s">
        <v>22</v>
      </c>
      <c r="I47" s="7" t="s">
        <v>617</v>
      </c>
    </row>
    <row r="48" spans="1:9" x14ac:dyDescent="0.3">
      <c r="A48" s="6">
        <v>9146</v>
      </c>
      <c r="B48" s="7" t="s">
        <v>134</v>
      </c>
      <c r="C48" s="7" t="s">
        <v>135</v>
      </c>
      <c r="D48" s="7" t="s">
        <v>30</v>
      </c>
      <c r="E48" s="7" t="s">
        <v>31</v>
      </c>
      <c r="F48" s="9">
        <f>VLOOKUP(E48,'Program Fees'!A2:B24,2,FALSE)</f>
        <v>74</v>
      </c>
      <c r="G48" s="7" t="s">
        <v>21</v>
      </c>
      <c r="H48" s="7" t="s">
        <v>12</v>
      </c>
      <c r="I48" s="7" t="s">
        <v>614</v>
      </c>
    </row>
    <row r="49" spans="1:9" x14ac:dyDescent="0.3">
      <c r="A49" s="6">
        <v>9147</v>
      </c>
      <c r="B49" s="7" t="s">
        <v>136</v>
      </c>
      <c r="C49" s="7" t="s">
        <v>137</v>
      </c>
      <c r="D49" s="7" t="s">
        <v>63</v>
      </c>
      <c r="E49" s="7" t="s">
        <v>64</v>
      </c>
      <c r="F49" s="9">
        <f>VLOOKUP(E49,'Program Fees'!A2:B24,2,FALSE)</f>
        <v>49</v>
      </c>
      <c r="G49" s="7" t="s">
        <v>49</v>
      </c>
      <c r="H49" s="7" t="s">
        <v>12</v>
      </c>
      <c r="I49" s="7" t="s">
        <v>617</v>
      </c>
    </row>
    <row r="50" spans="1:9" x14ac:dyDescent="0.3">
      <c r="A50" s="6">
        <v>9148</v>
      </c>
      <c r="B50" s="7" t="s">
        <v>138</v>
      </c>
      <c r="C50" s="7" t="s">
        <v>139</v>
      </c>
      <c r="D50" s="7" t="s">
        <v>46</v>
      </c>
      <c r="E50" s="7" t="s">
        <v>625</v>
      </c>
      <c r="F50" s="9">
        <f>VLOOKUP(E50,'Program Fees'!A2:B24,2,FALSE)</f>
        <v>64</v>
      </c>
      <c r="G50" s="7" t="s">
        <v>21</v>
      </c>
      <c r="H50" s="7" t="s">
        <v>12</v>
      </c>
      <c r="I50" s="7" t="s">
        <v>618</v>
      </c>
    </row>
    <row r="51" spans="1:9" x14ac:dyDescent="0.3">
      <c r="A51" s="6">
        <v>9149</v>
      </c>
      <c r="B51" s="7" t="s">
        <v>140</v>
      </c>
      <c r="C51" s="7" t="s">
        <v>141</v>
      </c>
      <c r="D51" s="7" t="s">
        <v>60</v>
      </c>
      <c r="E51" s="7" t="s">
        <v>623</v>
      </c>
      <c r="F51" s="9">
        <f>VLOOKUP(E51,'Program Fees'!A2:B24,2,FALSE)</f>
        <v>58</v>
      </c>
      <c r="G51" s="7" t="s">
        <v>11</v>
      </c>
      <c r="H51" s="7" t="s">
        <v>12</v>
      </c>
      <c r="I51" s="7" t="s">
        <v>618</v>
      </c>
    </row>
    <row r="52" spans="1:9" x14ac:dyDescent="0.3">
      <c r="A52" s="6">
        <v>9150</v>
      </c>
      <c r="B52" s="7" t="s">
        <v>142</v>
      </c>
      <c r="C52" s="7" t="s">
        <v>143</v>
      </c>
      <c r="D52" s="7" t="s">
        <v>19</v>
      </c>
      <c r="E52" s="7" t="s">
        <v>20</v>
      </c>
      <c r="F52" s="9">
        <f>VLOOKUP(E52,'Program Fees'!A2:B24,2,FALSE)</f>
        <v>86</v>
      </c>
      <c r="G52" s="7" t="s">
        <v>11</v>
      </c>
      <c r="H52" s="7" t="s">
        <v>12</v>
      </c>
      <c r="I52" s="7" t="s">
        <v>616</v>
      </c>
    </row>
    <row r="53" spans="1:9" x14ac:dyDescent="0.3">
      <c r="A53" s="6">
        <v>9151</v>
      </c>
      <c r="B53" s="7" t="s">
        <v>144</v>
      </c>
      <c r="C53" s="7" t="s">
        <v>145</v>
      </c>
      <c r="D53" s="7" t="s">
        <v>146</v>
      </c>
      <c r="E53" s="7" t="s">
        <v>147</v>
      </c>
      <c r="F53" s="9">
        <f>VLOOKUP(E53,'Program Fees'!A2:B24,2,FALSE)</f>
        <v>42</v>
      </c>
      <c r="G53" s="7" t="s">
        <v>49</v>
      </c>
      <c r="H53" s="7" t="s">
        <v>22</v>
      </c>
      <c r="I53" s="7" t="s">
        <v>614</v>
      </c>
    </row>
    <row r="54" spans="1:9" x14ac:dyDescent="0.3">
      <c r="A54" s="6">
        <v>9152</v>
      </c>
      <c r="B54" s="7" t="s">
        <v>148</v>
      </c>
      <c r="C54" s="7" t="s">
        <v>149</v>
      </c>
      <c r="D54" s="7" t="s">
        <v>60</v>
      </c>
      <c r="E54" s="7" t="s">
        <v>623</v>
      </c>
      <c r="F54" s="9">
        <f>VLOOKUP(E54,'Program Fees'!A2:B24,2,FALSE)</f>
        <v>58</v>
      </c>
      <c r="G54" s="7" t="s">
        <v>49</v>
      </c>
      <c r="H54" s="7" t="s">
        <v>12</v>
      </c>
      <c r="I54" s="7" t="s">
        <v>617</v>
      </c>
    </row>
    <row r="55" spans="1:9" x14ac:dyDescent="0.3">
      <c r="A55" s="6">
        <v>9153</v>
      </c>
      <c r="B55" s="7" t="s">
        <v>150</v>
      </c>
      <c r="C55" s="7" t="s">
        <v>151</v>
      </c>
      <c r="D55" s="7" t="s">
        <v>152</v>
      </c>
      <c r="E55" s="7" t="s">
        <v>153</v>
      </c>
      <c r="F55" s="9">
        <f>VLOOKUP(E55,'Program Fees'!A2:B24,2,FALSE)</f>
        <v>23</v>
      </c>
      <c r="G55" s="7" t="s">
        <v>49</v>
      </c>
      <c r="H55" s="7" t="s">
        <v>12</v>
      </c>
      <c r="I55" s="7" t="s">
        <v>618</v>
      </c>
    </row>
    <row r="56" spans="1:9" x14ac:dyDescent="0.3">
      <c r="A56" s="6">
        <v>9154</v>
      </c>
      <c r="B56" s="7" t="s">
        <v>154</v>
      </c>
      <c r="C56" s="7" t="s">
        <v>155</v>
      </c>
      <c r="D56" s="7" t="s">
        <v>9</v>
      </c>
      <c r="E56" s="7" t="s">
        <v>10</v>
      </c>
      <c r="F56" s="9">
        <f>VLOOKUP(E56,'Program Fees'!A2:B24,2,FALSE)</f>
        <v>27</v>
      </c>
      <c r="G56" s="7" t="s">
        <v>49</v>
      </c>
      <c r="H56" s="7" t="s">
        <v>12</v>
      </c>
      <c r="I56" s="7" t="s">
        <v>616</v>
      </c>
    </row>
    <row r="57" spans="1:9" x14ac:dyDescent="0.3">
      <c r="A57" s="6">
        <v>9155</v>
      </c>
      <c r="B57" s="7" t="s">
        <v>156</v>
      </c>
      <c r="C57" s="7" t="s">
        <v>157</v>
      </c>
      <c r="D57" s="7" t="s">
        <v>60</v>
      </c>
      <c r="E57" s="7" t="s">
        <v>623</v>
      </c>
      <c r="F57" s="9">
        <f>VLOOKUP(E57,'Program Fees'!A3:B25,2,FALSE)</f>
        <v>58</v>
      </c>
      <c r="G57" s="7" t="s">
        <v>21</v>
      </c>
      <c r="H57" s="7" t="s">
        <v>12</v>
      </c>
      <c r="I57" s="7" t="s">
        <v>614</v>
      </c>
    </row>
    <row r="58" spans="1:9" x14ac:dyDescent="0.3">
      <c r="A58" s="6">
        <v>9156</v>
      </c>
      <c r="B58" s="7" t="s">
        <v>158</v>
      </c>
      <c r="C58" s="7" t="s">
        <v>159</v>
      </c>
      <c r="D58" s="7" t="s">
        <v>160</v>
      </c>
      <c r="E58" s="7" t="s">
        <v>621</v>
      </c>
      <c r="F58" s="9">
        <f>VLOOKUP(E58,'Program Fees'!A4:B26,2,FALSE)</f>
        <v>21</v>
      </c>
      <c r="G58" s="7" t="s">
        <v>49</v>
      </c>
      <c r="H58" s="7" t="s">
        <v>12</v>
      </c>
      <c r="I58" s="7" t="s">
        <v>613</v>
      </c>
    </row>
    <row r="59" spans="1:9" x14ac:dyDescent="0.3">
      <c r="A59" s="6">
        <v>9157</v>
      </c>
      <c r="B59" s="7" t="s">
        <v>161</v>
      </c>
      <c r="C59" s="7" t="s">
        <v>162</v>
      </c>
      <c r="D59" s="7" t="s">
        <v>163</v>
      </c>
      <c r="E59" s="7" t="s">
        <v>86</v>
      </c>
      <c r="F59" s="9">
        <f>VLOOKUP(E59,'Program Fees'!A5:B27,2,FALSE)</f>
        <v>24</v>
      </c>
      <c r="G59" s="7" t="s">
        <v>21</v>
      </c>
      <c r="H59" s="7" t="s">
        <v>12</v>
      </c>
      <c r="I59" s="7" t="s">
        <v>618</v>
      </c>
    </row>
    <row r="60" spans="1:9" x14ac:dyDescent="0.3">
      <c r="A60" s="6">
        <v>9158</v>
      </c>
      <c r="B60" s="7" t="s">
        <v>164</v>
      </c>
      <c r="C60" s="7" t="s">
        <v>165</v>
      </c>
      <c r="D60" s="7" t="s">
        <v>166</v>
      </c>
      <c r="E60" s="7" t="s">
        <v>167</v>
      </c>
      <c r="F60" s="9">
        <f>VLOOKUP(E60,'Program Fees'!A6:B28,2,FALSE)</f>
        <v>20</v>
      </c>
      <c r="G60" s="7" t="s">
        <v>21</v>
      </c>
      <c r="H60" s="7" t="s">
        <v>12</v>
      </c>
      <c r="I60" s="7" t="s">
        <v>615</v>
      </c>
    </row>
    <row r="61" spans="1:9" x14ac:dyDescent="0.3">
      <c r="A61" s="6">
        <v>9159</v>
      </c>
      <c r="B61" s="7" t="s">
        <v>168</v>
      </c>
      <c r="C61" s="7" t="s">
        <v>169</v>
      </c>
      <c r="D61" s="7" t="s">
        <v>170</v>
      </c>
      <c r="E61" s="7" t="s">
        <v>171</v>
      </c>
      <c r="F61" s="9">
        <f>VLOOKUP(E61,'Program Fees'!A7:B29,2,FALSE)</f>
        <v>68</v>
      </c>
      <c r="G61" s="7" t="s">
        <v>41</v>
      </c>
      <c r="H61" s="7" t="s">
        <v>12</v>
      </c>
      <c r="I61" s="7" t="s">
        <v>613</v>
      </c>
    </row>
    <row r="62" spans="1:9" x14ac:dyDescent="0.3">
      <c r="A62" s="6">
        <v>9160</v>
      </c>
      <c r="B62" s="7" t="s">
        <v>172</v>
      </c>
      <c r="C62" s="7" t="s">
        <v>173</v>
      </c>
      <c r="D62" s="7" t="s">
        <v>166</v>
      </c>
      <c r="E62" s="7" t="s">
        <v>167</v>
      </c>
      <c r="F62" s="9">
        <f>VLOOKUP(E62,'Program Fees'!A8:B30,2,FALSE)</f>
        <v>20</v>
      </c>
      <c r="G62" s="7" t="s">
        <v>11</v>
      </c>
      <c r="H62" s="7" t="s">
        <v>12</v>
      </c>
      <c r="I62" s="7" t="s">
        <v>614</v>
      </c>
    </row>
    <row r="63" spans="1:9" x14ac:dyDescent="0.3">
      <c r="A63" s="6">
        <v>9161</v>
      </c>
      <c r="B63" s="7" t="s">
        <v>174</v>
      </c>
      <c r="C63" s="7" t="s">
        <v>175</v>
      </c>
      <c r="D63" s="7" t="s">
        <v>176</v>
      </c>
      <c r="E63" s="7" t="s">
        <v>86</v>
      </c>
      <c r="F63" s="9">
        <f>VLOOKUP(E63,'Program Fees'!A9:B31,2,FALSE)</f>
        <v>24</v>
      </c>
      <c r="G63" s="7" t="s">
        <v>27</v>
      </c>
      <c r="H63" s="7" t="s">
        <v>22</v>
      </c>
      <c r="I63" s="7" t="s">
        <v>611</v>
      </c>
    </row>
    <row r="64" spans="1:9" x14ac:dyDescent="0.3">
      <c r="A64" s="6">
        <v>9162</v>
      </c>
      <c r="B64" s="7" t="s">
        <v>177</v>
      </c>
      <c r="C64" s="7" t="s">
        <v>178</v>
      </c>
      <c r="D64" s="7" t="s">
        <v>9</v>
      </c>
      <c r="E64" s="7" t="s">
        <v>10</v>
      </c>
      <c r="F64" s="9">
        <f>VLOOKUP(E64,'Program Fees'!A2:B24,2,FALSE)</f>
        <v>27</v>
      </c>
      <c r="G64" s="7" t="s">
        <v>21</v>
      </c>
      <c r="H64" s="7" t="s">
        <v>22</v>
      </c>
      <c r="I64" s="7" t="s">
        <v>154</v>
      </c>
    </row>
    <row r="65" spans="1:9" x14ac:dyDescent="0.3">
      <c r="A65" s="6">
        <v>9163</v>
      </c>
      <c r="B65" s="7" t="s">
        <v>179</v>
      </c>
      <c r="C65" s="7" t="s">
        <v>91</v>
      </c>
      <c r="D65" s="7" t="s">
        <v>85</v>
      </c>
      <c r="E65" s="7" t="s">
        <v>86</v>
      </c>
      <c r="F65" s="9">
        <f>VLOOKUP(E65,'Program Fees'!A11:B33,2,FALSE)</f>
        <v>24</v>
      </c>
      <c r="G65" s="7" t="s">
        <v>49</v>
      </c>
      <c r="H65" s="7" t="s">
        <v>12</v>
      </c>
      <c r="I65" s="7" t="s">
        <v>154</v>
      </c>
    </row>
    <row r="66" spans="1:9" x14ac:dyDescent="0.3">
      <c r="A66" s="6">
        <v>9164</v>
      </c>
      <c r="B66" s="7" t="s">
        <v>180</v>
      </c>
      <c r="C66" s="7" t="s">
        <v>181</v>
      </c>
      <c r="D66" s="7" t="s">
        <v>60</v>
      </c>
      <c r="E66" s="7" t="s">
        <v>623</v>
      </c>
      <c r="F66" s="9">
        <f>VLOOKUP(E66,'Program Fees'!A12:B34,2,FALSE)</f>
        <v>58</v>
      </c>
      <c r="G66" s="7" t="s">
        <v>21</v>
      </c>
      <c r="H66" s="7" t="s">
        <v>22</v>
      </c>
      <c r="I66" s="7" t="s">
        <v>613</v>
      </c>
    </row>
    <row r="67" spans="1:9" x14ac:dyDescent="0.3">
      <c r="A67" s="6">
        <v>9165</v>
      </c>
      <c r="B67" s="7" t="s">
        <v>182</v>
      </c>
      <c r="C67" s="7" t="s">
        <v>183</v>
      </c>
      <c r="D67" s="7" t="s">
        <v>15</v>
      </c>
      <c r="E67" s="7" t="s">
        <v>16</v>
      </c>
      <c r="F67" s="9">
        <f>VLOOKUP(E67,'Program Fees'!A2:B24,2,FALSE)</f>
        <v>36</v>
      </c>
      <c r="G67" s="7" t="s">
        <v>49</v>
      </c>
      <c r="H67" s="7" t="s">
        <v>12</v>
      </c>
      <c r="I67" s="7" t="s">
        <v>613</v>
      </c>
    </row>
    <row r="68" spans="1:9" x14ac:dyDescent="0.3">
      <c r="A68" s="6">
        <v>9166</v>
      </c>
      <c r="B68" s="7" t="s">
        <v>184</v>
      </c>
      <c r="C68" s="7" t="s">
        <v>185</v>
      </c>
      <c r="D68" s="7" t="s">
        <v>19</v>
      </c>
      <c r="E68" s="7" t="s">
        <v>20</v>
      </c>
      <c r="F68" s="9">
        <f>VLOOKUP(E68,'Program Fees'!A2:B24,2,FALSE)</f>
        <v>86</v>
      </c>
      <c r="G68" s="7" t="s">
        <v>21</v>
      </c>
      <c r="H68" s="7" t="s">
        <v>22</v>
      </c>
      <c r="I68" s="7" t="s">
        <v>616</v>
      </c>
    </row>
    <row r="69" spans="1:9" x14ac:dyDescent="0.3">
      <c r="A69" s="6">
        <v>9167</v>
      </c>
      <c r="B69" s="7" t="s">
        <v>186</v>
      </c>
      <c r="C69" s="7" t="s">
        <v>187</v>
      </c>
      <c r="D69" s="7" t="s">
        <v>30</v>
      </c>
      <c r="E69" s="7" t="s">
        <v>31</v>
      </c>
      <c r="F69" s="9">
        <f>VLOOKUP(E69,'Program Fees'!A2:B24,2,FALSE)</f>
        <v>74</v>
      </c>
      <c r="G69" s="7" t="s">
        <v>49</v>
      </c>
      <c r="H69" s="7" t="s">
        <v>12</v>
      </c>
      <c r="I69" s="7" t="s">
        <v>613</v>
      </c>
    </row>
    <row r="70" spans="1:9" x14ac:dyDescent="0.3">
      <c r="A70" s="6">
        <v>9168</v>
      </c>
      <c r="B70" s="7" t="s">
        <v>188</v>
      </c>
      <c r="C70" s="7" t="s">
        <v>189</v>
      </c>
      <c r="D70" s="7" t="s">
        <v>190</v>
      </c>
      <c r="E70" s="7" t="s">
        <v>625</v>
      </c>
      <c r="F70" s="9">
        <f>VLOOKUP(E70,'Program Fees'!A2:B24,2,FALSE)</f>
        <v>64</v>
      </c>
      <c r="G70" s="7" t="s">
        <v>191</v>
      </c>
      <c r="H70" s="7" t="s">
        <v>12</v>
      </c>
      <c r="I70" s="7" t="s">
        <v>154</v>
      </c>
    </row>
    <row r="71" spans="1:9" x14ac:dyDescent="0.3">
      <c r="A71" s="6">
        <v>9169</v>
      </c>
      <c r="B71" s="7" t="s">
        <v>192</v>
      </c>
      <c r="C71" s="7" t="s">
        <v>193</v>
      </c>
      <c r="D71" s="7" t="s">
        <v>194</v>
      </c>
      <c r="E71" s="7" t="s">
        <v>16</v>
      </c>
      <c r="F71" s="9">
        <f>VLOOKUP(E71,'Program Fees'!A2:B24,2,FALSE)</f>
        <v>36</v>
      </c>
      <c r="G71" s="7" t="s">
        <v>21</v>
      </c>
      <c r="H71" s="7" t="s">
        <v>22</v>
      </c>
      <c r="I71" s="7" t="s">
        <v>617</v>
      </c>
    </row>
    <row r="72" spans="1:9" x14ac:dyDescent="0.3">
      <c r="A72" s="6">
        <v>9170</v>
      </c>
      <c r="B72" s="7" t="s">
        <v>195</v>
      </c>
      <c r="C72" s="7" t="s">
        <v>196</v>
      </c>
      <c r="D72" s="7" t="s">
        <v>60</v>
      </c>
      <c r="E72" s="7" t="s">
        <v>623</v>
      </c>
      <c r="F72" s="9">
        <f>VLOOKUP(E72,'Program Fees'!A2:B24,2,FALSE)</f>
        <v>58</v>
      </c>
      <c r="G72" s="7" t="s">
        <v>11</v>
      </c>
      <c r="H72" s="7" t="s">
        <v>12</v>
      </c>
      <c r="I72" s="7" t="s">
        <v>154</v>
      </c>
    </row>
    <row r="73" spans="1:9" x14ac:dyDescent="0.3">
      <c r="A73" s="6">
        <v>9171</v>
      </c>
      <c r="B73" s="7" t="s">
        <v>197</v>
      </c>
      <c r="C73" s="7" t="s">
        <v>198</v>
      </c>
      <c r="D73" s="7" t="s">
        <v>85</v>
      </c>
      <c r="E73" s="7" t="s">
        <v>86</v>
      </c>
      <c r="F73" s="9">
        <f>VLOOKUP(E73,'Program Fees'!A19:B41,2,FALSE)</f>
        <v>24</v>
      </c>
      <c r="G73" s="7" t="s">
        <v>49</v>
      </c>
      <c r="H73" s="7" t="s">
        <v>12</v>
      </c>
      <c r="I73" s="7" t="s">
        <v>614</v>
      </c>
    </row>
    <row r="74" spans="1:9" x14ac:dyDescent="0.3">
      <c r="A74" s="6">
        <v>9172</v>
      </c>
      <c r="B74" s="7" t="s">
        <v>199</v>
      </c>
      <c r="C74" s="7" t="s">
        <v>200</v>
      </c>
      <c r="D74" s="7" t="s">
        <v>201</v>
      </c>
      <c r="E74" s="7" t="s">
        <v>624</v>
      </c>
      <c r="F74" s="9">
        <f>VLOOKUP(E74,'Program Fees'!A20:B42,2,FALSE)</f>
        <v>35</v>
      </c>
      <c r="G74" s="7" t="s">
        <v>49</v>
      </c>
      <c r="H74" s="7" t="s">
        <v>12</v>
      </c>
      <c r="I74" s="7" t="s">
        <v>613</v>
      </c>
    </row>
    <row r="75" spans="1:9" x14ac:dyDescent="0.3">
      <c r="A75" s="6">
        <v>9173</v>
      </c>
      <c r="B75" s="7" t="s">
        <v>202</v>
      </c>
      <c r="C75" s="7" t="s">
        <v>203</v>
      </c>
      <c r="D75" s="7" t="s">
        <v>163</v>
      </c>
      <c r="E75" s="7" t="s">
        <v>86</v>
      </c>
      <c r="F75" s="9">
        <f>VLOOKUP(E75,'Program Fees'!A21:B43,2,FALSE)</f>
        <v>24</v>
      </c>
      <c r="G75" s="7" t="s">
        <v>21</v>
      </c>
      <c r="H75" s="7" t="s">
        <v>12</v>
      </c>
      <c r="I75" s="7" t="s">
        <v>616</v>
      </c>
    </row>
    <row r="76" spans="1:9" x14ac:dyDescent="0.3">
      <c r="A76" s="6">
        <v>9174</v>
      </c>
      <c r="B76" s="7" t="s">
        <v>204</v>
      </c>
      <c r="C76" s="7" t="s">
        <v>205</v>
      </c>
      <c r="D76" s="7" t="s">
        <v>190</v>
      </c>
      <c r="E76" s="7" t="s">
        <v>625</v>
      </c>
      <c r="F76" s="9">
        <f>VLOOKUP(E76,'Program Fees'!A22:B44,2,FALSE)</f>
        <v>64</v>
      </c>
      <c r="G76" s="7" t="s">
        <v>49</v>
      </c>
      <c r="H76" s="7" t="s">
        <v>12</v>
      </c>
      <c r="I76" s="7" t="s">
        <v>618</v>
      </c>
    </row>
    <row r="77" spans="1:9" x14ac:dyDescent="0.3">
      <c r="A77" s="6">
        <v>9175</v>
      </c>
      <c r="B77" s="7" t="s">
        <v>206</v>
      </c>
      <c r="C77" s="7" t="s">
        <v>207</v>
      </c>
      <c r="D77" s="7" t="s">
        <v>9</v>
      </c>
      <c r="E77" s="7" t="s">
        <v>10</v>
      </c>
      <c r="F77" s="9">
        <f>VLOOKUP(E77,'Program Fees'!A2:B24,2,FALSE)</f>
        <v>27</v>
      </c>
      <c r="G77" s="7" t="s">
        <v>11</v>
      </c>
      <c r="H77" s="7" t="s">
        <v>12</v>
      </c>
      <c r="I77" s="7" t="s">
        <v>615</v>
      </c>
    </row>
    <row r="78" spans="1:9" x14ac:dyDescent="0.3">
      <c r="A78" s="6">
        <v>9176</v>
      </c>
      <c r="B78" s="7" t="s">
        <v>208</v>
      </c>
      <c r="C78" s="7" t="s">
        <v>209</v>
      </c>
      <c r="D78" s="7" t="s">
        <v>210</v>
      </c>
      <c r="E78" s="7" t="s">
        <v>211</v>
      </c>
      <c r="F78" s="9">
        <f>VLOOKUP(E78,'Program Fees'!A2:B24,2,)</f>
        <v>26</v>
      </c>
      <c r="G78" s="7" t="s">
        <v>49</v>
      </c>
      <c r="H78" s="7" t="s">
        <v>12</v>
      </c>
      <c r="I78" s="7" t="s">
        <v>614</v>
      </c>
    </row>
    <row r="79" spans="1:9" x14ac:dyDescent="0.3">
      <c r="A79" s="6">
        <v>9177</v>
      </c>
      <c r="B79" s="7" t="s">
        <v>212</v>
      </c>
      <c r="C79" s="7" t="s">
        <v>126</v>
      </c>
      <c r="D79" s="7" t="s">
        <v>35</v>
      </c>
      <c r="E79" s="7" t="s">
        <v>36</v>
      </c>
      <c r="F79" s="9">
        <f>VLOOKUP(E79,'Program Fees'!A3:B25,2,)</f>
        <v>81</v>
      </c>
      <c r="G79" s="7" t="s">
        <v>11</v>
      </c>
      <c r="H79" s="7" t="s">
        <v>12</v>
      </c>
      <c r="I79" s="7" t="s">
        <v>617</v>
      </c>
    </row>
    <row r="80" spans="1:9" x14ac:dyDescent="0.3">
      <c r="A80" s="6">
        <v>9178</v>
      </c>
      <c r="B80" s="7" t="s">
        <v>213</v>
      </c>
      <c r="C80" s="7" t="s">
        <v>214</v>
      </c>
      <c r="D80" s="7" t="s">
        <v>19</v>
      </c>
      <c r="E80" s="7" t="s">
        <v>20</v>
      </c>
      <c r="F80" s="9">
        <f>VLOOKUP(E80,'Program Fees'!A4:B26,2,)</f>
        <v>86</v>
      </c>
      <c r="G80" s="7" t="s">
        <v>21</v>
      </c>
      <c r="H80" s="7" t="s">
        <v>12</v>
      </c>
      <c r="I80" s="7" t="s">
        <v>614</v>
      </c>
    </row>
    <row r="81" spans="1:9" x14ac:dyDescent="0.3">
      <c r="A81" s="6">
        <v>9179</v>
      </c>
      <c r="B81" s="7" t="s">
        <v>215</v>
      </c>
      <c r="C81" s="7" t="s">
        <v>216</v>
      </c>
      <c r="D81" s="7" t="s">
        <v>19</v>
      </c>
      <c r="E81" s="7" t="s">
        <v>20</v>
      </c>
      <c r="F81" s="9">
        <f>VLOOKUP(E81,'Program Fees'!A5:B27,2,)</f>
        <v>86</v>
      </c>
      <c r="G81" s="7" t="s">
        <v>11</v>
      </c>
      <c r="H81" s="7" t="s">
        <v>12</v>
      </c>
      <c r="I81" s="7" t="s">
        <v>617</v>
      </c>
    </row>
    <row r="82" spans="1:9" x14ac:dyDescent="0.3">
      <c r="A82" s="6">
        <v>9180</v>
      </c>
      <c r="B82" s="7" t="s">
        <v>217</v>
      </c>
      <c r="C82" s="7" t="s">
        <v>218</v>
      </c>
      <c r="D82" s="7" t="s">
        <v>97</v>
      </c>
      <c r="E82" s="7" t="s">
        <v>26</v>
      </c>
      <c r="F82" s="9">
        <f>VLOOKUP(E82,'Program Fees'!A6:B28,2,)</f>
        <v>46</v>
      </c>
      <c r="G82" s="7" t="s">
        <v>21</v>
      </c>
      <c r="H82" s="7" t="s">
        <v>12</v>
      </c>
      <c r="I82" s="7" t="s">
        <v>616</v>
      </c>
    </row>
    <row r="83" spans="1:9" x14ac:dyDescent="0.3">
      <c r="A83" s="6">
        <v>9181</v>
      </c>
      <c r="B83" s="7" t="s">
        <v>219</v>
      </c>
      <c r="C83" s="7" t="s">
        <v>220</v>
      </c>
      <c r="D83" s="7" t="s">
        <v>201</v>
      </c>
      <c r="E83" s="7" t="s">
        <v>624</v>
      </c>
      <c r="F83" s="9">
        <f>VLOOKUP(E83,'Program Fees'!A7:B29,2,)</f>
        <v>35</v>
      </c>
      <c r="G83" s="7" t="s">
        <v>49</v>
      </c>
      <c r="H83" s="7" t="s">
        <v>12</v>
      </c>
      <c r="I83" s="7" t="s">
        <v>613</v>
      </c>
    </row>
    <row r="84" spans="1:9" x14ac:dyDescent="0.3">
      <c r="A84" s="6">
        <v>9182</v>
      </c>
      <c r="B84" s="7" t="s">
        <v>221</v>
      </c>
      <c r="C84" s="7" t="s">
        <v>222</v>
      </c>
      <c r="D84" s="7" t="s">
        <v>30</v>
      </c>
      <c r="E84" s="7" t="s">
        <v>31</v>
      </c>
      <c r="F84" s="9">
        <f>VLOOKUP(E84,'Program Fees'!A8:B30,2,)</f>
        <v>74</v>
      </c>
      <c r="G84" s="7" t="s">
        <v>11</v>
      </c>
      <c r="H84" s="7" t="s">
        <v>22</v>
      </c>
      <c r="I84" s="7" t="s">
        <v>611</v>
      </c>
    </row>
    <row r="85" spans="1:9" x14ac:dyDescent="0.3">
      <c r="A85" s="6">
        <v>9183</v>
      </c>
      <c r="B85" s="7" t="s">
        <v>223</v>
      </c>
      <c r="C85" s="7" t="s">
        <v>224</v>
      </c>
      <c r="D85" s="7" t="s">
        <v>19</v>
      </c>
      <c r="E85" s="7" t="s">
        <v>20</v>
      </c>
      <c r="F85" s="9">
        <f>VLOOKUP(E85,'Program Fees'!A2:B24,2,)</f>
        <v>86</v>
      </c>
      <c r="G85" s="7" t="s">
        <v>21</v>
      </c>
      <c r="H85" s="7" t="s">
        <v>12</v>
      </c>
      <c r="I85" s="7" t="s">
        <v>154</v>
      </c>
    </row>
    <row r="86" spans="1:9" x14ac:dyDescent="0.3">
      <c r="A86" s="6">
        <v>9184</v>
      </c>
      <c r="B86" s="7" t="s">
        <v>225</v>
      </c>
      <c r="C86" s="7" t="s">
        <v>226</v>
      </c>
      <c r="D86" s="7" t="s">
        <v>25</v>
      </c>
      <c r="E86" s="7" t="s">
        <v>26</v>
      </c>
      <c r="F86" s="9">
        <f>VLOOKUP(E86,'Program Fees'!A2:B24,2,)</f>
        <v>46</v>
      </c>
      <c r="G86" s="7" t="s">
        <v>227</v>
      </c>
      <c r="H86" s="7" t="s">
        <v>12</v>
      </c>
      <c r="I86" s="7" t="s">
        <v>615</v>
      </c>
    </row>
    <row r="87" spans="1:9" x14ac:dyDescent="0.3">
      <c r="A87" s="6">
        <v>9185</v>
      </c>
      <c r="B87" s="7" t="s">
        <v>228</v>
      </c>
      <c r="C87" s="7" t="s">
        <v>229</v>
      </c>
      <c r="D87" s="7" t="s">
        <v>19</v>
      </c>
      <c r="E87" s="7" t="s">
        <v>20</v>
      </c>
      <c r="F87" s="9">
        <f>VLOOKUP(E87,'Program Fees'!A2:B24,2,)</f>
        <v>86</v>
      </c>
      <c r="G87" s="7" t="s">
        <v>27</v>
      </c>
      <c r="H87" s="7" t="s">
        <v>12</v>
      </c>
      <c r="I87" s="7" t="s">
        <v>618</v>
      </c>
    </row>
    <row r="88" spans="1:9" x14ac:dyDescent="0.3">
      <c r="A88" s="6">
        <v>9186</v>
      </c>
      <c r="B88" s="7" t="s">
        <v>230</v>
      </c>
      <c r="C88" s="7" t="s">
        <v>231</v>
      </c>
      <c r="D88" s="7" t="s">
        <v>201</v>
      </c>
      <c r="E88" s="7" t="s">
        <v>624</v>
      </c>
      <c r="F88" s="9">
        <f>VLOOKUP(E88,'Program Fees'!A2:B24,2,)</f>
        <v>35</v>
      </c>
      <c r="G88" s="7" t="s">
        <v>49</v>
      </c>
      <c r="H88" s="7" t="s">
        <v>12</v>
      </c>
      <c r="I88" s="7" t="s">
        <v>615</v>
      </c>
    </row>
    <row r="89" spans="1:9" x14ac:dyDescent="0.3">
      <c r="A89" s="6">
        <v>9187</v>
      </c>
      <c r="B89" s="7" t="s">
        <v>232</v>
      </c>
      <c r="C89" s="7" t="s">
        <v>233</v>
      </c>
      <c r="D89" s="7" t="s">
        <v>19</v>
      </c>
      <c r="E89" s="7" t="s">
        <v>20</v>
      </c>
      <c r="F89" s="9">
        <f>VLOOKUP(E89,'Program Fees'!A2:B24,2,)</f>
        <v>86</v>
      </c>
      <c r="G89" s="7" t="s">
        <v>11</v>
      </c>
      <c r="H89" s="7" t="s">
        <v>12</v>
      </c>
      <c r="I89" s="7" t="s">
        <v>612</v>
      </c>
    </row>
    <row r="90" spans="1:9" x14ac:dyDescent="0.3">
      <c r="A90" s="6">
        <v>9188</v>
      </c>
      <c r="B90" s="7" t="s">
        <v>234</v>
      </c>
      <c r="C90" s="7" t="s">
        <v>235</v>
      </c>
      <c r="D90" s="7" t="s">
        <v>210</v>
      </c>
      <c r="E90" s="7" t="s">
        <v>211</v>
      </c>
      <c r="F90" s="9">
        <f>VLOOKUP(E90,'Program Fees'!A2:B24,2,)</f>
        <v>26</v>
      </c>
      <c r="G90" s="7" t="s">
        <v>11</v>
      </c>
      <c r="H90" s="7" t="s">
        <v>12</v>
      </c>
      <c r="I90" s="7" t="s">
        <v>612</v>
      </c>
    </row>
    <row r="91" spans="1:9" x14ac:dyDescent="0.3">
      <c r="A91" s="6">
        <v>9189</v>
      </c>
      <c r="B91" s="7" t="s">
        <v>236</v>
      </c>
      <c r="C91" s="7" t="s">
        <v>237</v>
      </c>
      <c r="D91" s="7" t="s">
        <v>9</v>
      </c>
      <c r="E91" s="7" t="s">
        <v>10</v>
      </c>
      <c r="F91" s="9">
        <f>VLOOKUP(E91,'Program Fees'!A2:B24,2,)</f>
        <v>27</v>
      </c>
      <c r="G91" s="7" t="s">
        <v>11</v>
      </c>
      <c r="H91" s="7" t="s">
        <v>12</v>
      </c>
      <c r="I91" s="7" t="s">
        <v>613</v>
      </c>
    </row>
    <row r="92" spans="1:9" x14ac:dyDescent="0.3">
      <c r="A92" s="6">
        <v>9190</v>
      </c>
      <c r="B92" s="7" t="s">
        <v>238</v>
      </c>
      <c r="C92" s="7" t="s">
        <v>239</v>
      </c>
      <c r="D92" s="7" t="s">
        <v>146</v>
      </c>
      <c r="E92" s="7" t="s">
        <v>147</v>
      </c>
      <c r="F92" s="9">
        <f>VLOOKUP(E92,'Program Fees'!A2:B24,2,FALSE)</f>
        <v>42</v>
      </c>
      <c r="G92" s="7" t="s">
        <v>11</v>
      </c>
      <c r="H92" s="7" t="s">
        <v>12</v>
      </c>
      <c r="I92" s="7" t="s">
        <v>615</v>
      </c>
    </row>
    <row r="93" spans="1:9" x14ac:dyDescent="0.3">
      <c r="A93" s="6">
        <v>9191</v>
      </c>
      <c r="B93" s="7" t="s">
        <v>240</v>
      </c>
      <c r="C93" s="7" t="s">
        <v>241</v>
      </c>
      <c r="D93" s="7" t="s">
        <v>9</v>
      </c>
      <c r="E93" s="7" t="s">
        <v>10</v>
      </c>
      <c r="F93" s="9">
        <f>VLOOKUP(E93,'Program Fees'!A2:B24,2,)</f>
        <v>27</v>
      </c>
      <c r="G93" s="7" t="s">
        <v>49</v>
      </c>
      <c r="H93" s="7" t="s">
        <v>12</v>
      </c>
      <c r="I93" s="7" t="s">
        <v>618</v>
      </c>
    </row>
    <row r="94" spans="1:9" x14ac:dyDescent="0.3">
      <c r="A94" s="6">
        <v>9192</v>
      </c>
      <c r="B94" s="7" t="s">
        <v>242</v>
      </c>
      <c r="C94" s="7" t="s">
        <v>243</v>
      </c>
      <c r="D94" s="7" t="s">
        <v>19</v>
      </c>
      <c r="E94" s="7" t="s">
        <v>20</v>
      </c>
      <c r="F94" s="9">
        <f>VLOOKUP(E94,'Program Fees'!A2:B24,2,)</f>
        <v>86</v>
      </c>
      <c r="G94" s="7" t="s">
        <v>21</v>
      </c>
      <c r="H94" s="7" t="s">
        <v>12</v>
      </c>
      <c r="I94" s="7" t="s">
        <v>618</v>
      </c>
    </row>
    <row r="95" spans="1:9" x14ac:dyDescent="0.3">
      <c r="A95" s="6">
        <v>9193</v>
      </c>
      <c r="B95" s="7" t="s">
        <v>244</v>
      </c>
      <c r="C95" s="7" t="s">
        <v>245</v>
      </c>
      <c r="D95" s="7" t="s">
        <v>105</v>
      </c>
      <c r="E95" s="7" t="s">
        <v>106</v>
      </c>
      <c r="F95" s="9">
        <f>VLOOKUP(E95,'Program Fees'!A19:B41,2,)</f>
        <v>41</v>
      </c>
      <c r="G95" s="7" t="s">
        <v>49</v>
      </c>
      <c r="H95" s="7" t="s">
        <v>12</v>
      </c>
      <c r="I95" s="7" t="s">
        <v>612</v>
      </c>
    </row>
    <row r="96" spans="1:9" x14ac:dyDescent="0.3">
      <c r="A96" s="6">
        <v>9194</v>
      </c>
      <c r="B96" s="7" t="s">
        <v>246</v>
      </c>
      <c r="C96" s="7" t="s">
        <v>247</v>
      </c>
      <c r="D96" s="7" t="s">
        <v>170</v>
      </c>
      <c r="E96" s="7" t="s">
        <v>171</v>
      </c>
      <c r="F96" s="9">
        <f>VLOOKUP(E96,'Program Fees'!A2:B24,2,)</f>
        <v>68</v>
      </c>
      <c r="G96" s="7" t="s">
        <v>41</v>
      </c>
      <c r="H96" s="7" t="s">
        <v>12</v>
      </c>
      <c r="I96" s="7" t="s">
        <v>617</v>
      </c>
    </row>
    <row r="97" spans="1:9" x14ac:dyDescent="0.3">
      <c r="A97" s="6">
        <v>9195</v>
      </c>
      <c r="B97" s="7" t="s">
        <v>248</v>
      </c>
      <c r="C97" s="7" t="s">
        <v>249</v>
      </c>
      <c r="D97" s="7" t="s">
        <v>30</v>
      </c>
      <c r="E97" s="7" t="s">
        <v>31</v>
      </c>
      <c r="F97" s="9">
        <f>VLOOKUP(E97,'Program Fees'!A2:B24,2,)</f>
        <v>74</v>
      </c>
      <c r="G97" s="7" t="s">
        <v>11</v>
      </c>
      <c r="H97" s="7" t="s">
        <v>12</v>
      </c>
      <c r="I97" s="7" t="s">
        <v>616</v>
      </c>
    </row>
    <row r="98" spans="1:9" x14ac:dyDescent="0.3">
      <c r="A98" s="6">
        <v>9196</v>
      </c>
      <c r="B98" s="7" t="s">
        <v>250</v>
      </c>
      <c r="C98" s="7" t="s">
        <v>251</v>
      </c>
      <c r="D98" s="7" t="s">
        <v>81</v>
      </c>
      <c r="E98" s="7" t="s">
        <v>82</v>
      </c>
      <c r="F98" s="9">
        <f>VLOOKUP(E98,'Program Fees'!A2:B24,2,)</f>
        <v>85</v>
      </c>
      <c r="G98" s="7" t="s">
        <v>49</v>
      </c>
      <c r="H98" s="7" t="s">
        <v>12</v>
      </c>
      <c r="I98" s="7" t="s">
        <v>617</v>
      </c>
    </row>
    <row r="99" spans="1:9" x14ac:dyDescent="0.3">
      <c r="A99" s="6">
        <v>9197</v>
      </c>
      <c r="B99" s="7" t="s">
        <v>252</v>
      </c>
      <c r="C99" s="7" t="s">
        <v>253</v>
      </c>
      <c r="D99" s="7" t="s">
        <v>146</v>
      </c>
      <c r="E99" s="7" t="s">
        <v>147</v>
      </c>
      <c r="F99" s="9">
        <f>VLOOKUP(E99,'Program Fees'!A2:B24,2,)</f>
        <v>42</v>
      </c>
      <c r="G99" s="7" t="s">
        <v>11</v>
      </c>
      <c r="H99" s="7" t="s">
        <v>12</v>
      </c>
      <c r="I99" s="7" t="s">
        <v>154</v>
      </c>
    </row>
    <row r="100" spans="1:9" x14ac:dyDescent="0.3">
      <c r="A100" s="6">
        <v>9198</v>
      </c>
      <c r="B100" s="7" t="s">
        <v>254</v>
      </c>
      <c r="C100" s="7" t="s">
        <v>255</v>
      </c>
      <c r="D100" s="7" t="s">
        <v>52</v>
      </c>
      <c r="E100" s="7" t="s">
        <v>626</v>
      </c>
      <c r="F100" s="9">
        <f>VLOOKUP(E100,'Program Fees'!A2:B24,2,)</f>
        <v>25</v>
      </c>
      <c r="G100" s="7" t="s">
        <v>191</v>
      </c>
      <c r="H100" s="7" t="s">
        <v>12</v>
      </c>
      <c r="I100" s="7" t="s">
        <v>616</v>
      </c>
    </row>
    <row r="101" spans="1:9" x14ac:dyDescent="0.3">
      <c r="A101" s="6">
        <v>9199</v>
      </c>
      <c r="B101" s="7" t="s">
        <v>256</v>
      </c>
      <c r="C101" s="7" t="s">
        <v>257</v>
      </c>
      <c r="D101" s="7" t="s">
        <v>19</v>
      </c>
      <c r="E101" s="7" t="s">
        <v>20</v>
      </c>
      <c r="F101" s="9">
        <f>VLOOKUP(E101,'Program Fees'!A2:B24,2,)</f>
        <v>86</v>
      </c>
      <c r="G101" s="7" t="s">
        <v>27</v>
      </c>
      <c r="H101" s="7" t="s">
        <v>12</v>
      </c>
      <c r="I101" s="7" t="s">
        <v>611</v>
      </c>
    </row>
    <row r="102" spans="1:9" x14ac:dyDescent="0.3">
      <c r="A102" s="6">
        <v>9200</v>
      </c>
      <c r="B102" s="7" t="s">
        <v>258</v>
      </c>
      <c r="C102" s="7" t="s">
        <v>259</v>
      </c>
      <c r="D102" s="7" t="s">
        <v>210</v>
      </c>
      <c r="E102" s="7" t="s">
        <v>211</v>
      </c>
      <c r="F102" s="9">
        <f>VLOOKUP(E102,'Program Fees'!A2:B24,2,)</f>
        <v>26</v>
      </c>
      <c r="G102" s="7" t="s">
        <v>11</v>
      </c>
      <c r="H102" s="7" t="s">
        <v>12</v>
      </c>
      <c r="I102" s="7" t="s">
        <v>612</v>
      </c>
    </row>
    <row r="103" spans="1:9" x14ac:dyDescent="0.3">
      <c r="A103" s="6">
        <v>9201</v>
      </c>
      <c r="B103" s="7" t="s">
        <v>75</v>
      </c>
      <c r="C103" s="7" t="s">
        <v>260</v>
      </c>
      <c r="D103" s="7" t="s">
        <v>105</v>
      </c>
      <c r="E103" s="7" t="s">
        <v>106</v>
      </c>
      <c r="F103" s="9">
        <f>VLOOKUP(E103,'Program Fees'!A2:B24,2,)</f>
        <v>41</v>
      </c>
      <c r="G103" s="7" t="s">
        <v>49</v>
      </c>
      <c r="H103" s="7" t="s">
        <v>12</v>
      </c>
      <c r="I103" s="7" t="s">
        <v>611</v>
      </c>
    </row>
    <row r="104" spans="1:9" x14ac:dyDescent="0.3">
      <c r="A104" s="6">
        <v>9202</v>
      </c>
      <c r="B104" s="7" t="s">
        <v>261</v>
      </c>
      <c r="C104" s="7" t="s">
        <v>262</v>
      </c>
      <c r="D104" s="7" t="s">
        <v>263</v>
      </c>
      <c r="E104" s="7" t="s">
        <v>624</v>
      </c>
      <c r="F104" s="9">
        <f>VLOOKUP(E104,'Program Fees'!A2:B24,2,)</f>
        <v>35</v>
      </c>
      <c r="G104" s="7" t="s">
        <v>11</v>
      </c>
      <c r="H104" s="7" t="s">
        <v>12</v>
      </c>
      <c r="I104" s="7" t="s">
        <v>613</v>
      </c>
    </row>
    <row r="105" spans="1:9" x14ac:dyDescent="0.3">
      <c r="A105" s="6">
        <v>9203</v>
      </c>
      <c r="B105" s="7" t="s">
        <v>264</v>
      </c>
      <c r="C105" s="7" t="s">
        <v>265</v>
      </c>
      <c r="D105" s="7" t="s">
        <v>105</v>
      </c>
      <c r="E105" s="7" t="s">
        <v>106</v>
      </c>
      <c r="F105" s="9">
        <f>VLOOKUP(E105,'Program Fees'!A2:B24,2,)</f>
        <v>41</v>
      </c>
      <c r="G105" s="7" t="s">
        <v>11</v>
      </c>
      <c r="H105" s="7" t="s">
        <v>12</v>
      </c>
      <c r="I105" s="7" t="s">
        <v>615</v>
      </c>
    </row>
    <row r="106" spans="1:9" x14ac:dyDescent="0.3">
      <c r="A106" s="6">
        <v>9204</v>
      </c>
      <c r="B106" s="7" t="s">
        <v>266</v>
      </c>
      <c r="C106" s="7" t="s">
        <v>267</v>
      </c>
      <c r="D106" s="7" t="s">
        <v>19</v>
      </c>
      <c r="E106" s="7" t="s">
        <v>20</v>
      </c>
      <c r="F106" s="9">
        <f>VLOOKUP(E106,'Program Fees'!A2:B24,2,)</f>
        <v>86</v>
      </c>
      <c r="G106" s="7" t="s">
        <v>49</v>
      </c>
      <c r="H106" s="7" t="s">
        <v>12</v>
      </c>
      <c r="I106" s="7" t="s">
        <v>611</v>
      </c>
    </row>
    <row r="107" spans="1:9" x14ac:dyDescent="0.3">
      <c r="A107" s="6">
        <v>9205</v>
      </c>
      <c r="B107" s="7" t="s">
        <v>268</v>
      </c>
      <c r="C107" s="7" t="s">
        <v>269</v>
      </c>
      <c r="D107" s="7" t="s">
        <v>60</v>
      </c>
      <c r="E107" s="7" t="s">
        <v>623</v>
      </c>
      <c r="F107" s="9">
        <f>VLOOKUP(E107,'Program Fees'!A2:B24,2,)</f>
        <v>58</v>
      </c>
      <c r="G107" s="7" t="s">
        <v>11</v>
      </c>
      <c r="H107" s="7" t="s">
        <v>12</v>
      </c>
      <c r="I107" s="7" t="s">
        <v>614</v>
      </c>
    </row>
    <row r="108" spans="1:9" x14ac:dyDescent="0.3">
      <c r="A108" s="6">
        <v>9206</v>
      </c>
      <c r="B108" s="7" t="s">
        <v>270</v>
      </c>
      <c r="C108" s="7" t="s">
        <v>271</v>
      </c>
      <c r="D108" s="7" t="s">
        <v>39</v>
      </c>
      <c r="E108" s="7" t="s">
        <v>40</v>
      </c>
      <c r="F108" s="9">
        <f>VLOOKUP(E108,'Program Fees'!A2:B24,2,)</f>
        <v>75</v>
      </c>
      <c r="G108" s="7" t="s">
        <v>272</v>
      </c>
      <c r="H108" s="7" t="s">
        <v>12</v>
      </c>
      <c r="I108" s="7" t="s">
        <v>618</v>
      </c>
    </row>
    <row r="109" spans="1:9" x14ac:dyDescent="0.3">
      <c r="A109" s="6">
        <v>9207</v>
      </c>
      <c r="B109" s="7" t="s">
        <v>273</v>
      </c>
      <c r="C109" s="7" t="s">
        <v>274</v>
      </c>
      <c r="D109" s="7" t="s">
        <v>19</v>
      </c>
      <c r="E109" s="7" t="s">
        <v>20</v>
      </c>
      <c r="F109" s="9">
        <f>VLOOKUP(E109,'Program Fees'!A3:B25,2,)</f>
        <v>86</v>
      </c>
      <c r="G109" s="7" t="s">
        <v>49</v>
      </c>
      <c r="H109" s="7" t="s">
        <v>12</v>
      </c>
      <c r="I109" s="7" t="s">
        <v>611</v>
      </c>
    </row>
    <row r="110" spans="1:9" x14ac:dyDescent="0.3">
      <c r="A110" s="6">
        <v>9208</v>
      </c>
      <c r="B110" s="7" t="s">
        <v>275</v>
      </c>
      <c r="C110" s="7" t="s">
        <v>276</v>
      </c>
      <c r="D110" s="7" t="s">
        <v>19</v>
      </c>
      <c r="E110" s="7" t="s">
        <v>20</v>
      </c>
      <c r="F110" s="9">
        <f>VLOOKUP(E110,'Program Fees'!A4:B26,2,)</f>
        <v>86</v>
      </c>
      <c r="G110" s="7" t="s">
        <v>21</v>
      </c>
      <c r="H110" s="7" t="s">
        <v>12</v>
      </c>
      <c r="I110" s="7" t="s">
        <v>618</v>
      </c>
    </row>
    <row r="111" spans="1:9" x14ac:dyDescent="0.3">
      <c r="A111" s="6">
        <v>9209</v>
      </c>
      <c r="B111" s="7" t="s">
        <v>277</v>
      </c>
      <c r="C111" s="7" t="s">
        <v>278</v>
      </c>
      <c r="D111" s="7" t="s">
        <v>30</v>
      </c>
      <c r="E111" s="7" t="s">
        <v>31</v>
      </c>
      <c r="F111" s="9">
        <f>VLOOKUP(E111,'Program Fees'!A5:B27,2,)</f>
        <v>74</v>
      </c>
      <c r="G111" s="7" t="s">
        <v>11</v>
      </c>
      <c r="H111" s="7" t="s">
        <v>12</v>
      </c>
      <c r="I111" s="7" t="s">
        <v>614</v>
      </c>
    </row>
    <row r="112" spans="1:9" x14ac:dyDescent="0.3">
      <c r="A112" s="6">
        <v>9210</v>
      </c>
      <c r="B112" s="7" t="s">
        <v>279</v>
      </c>
      <c r="C112" s="7" t="s">
        <v>280</v>
      </c>
      <c r="D112" s="7" t="s">
        <v>105</v>
      </c>
      <c r="E112" s="7" t="s">
        <v>106</v>
      </c>
      <c r="F112" s="9">
        <f>VLOOKUP(E112,'Program Fees'!A6:B28,2,)</f>
        <v>41</v>
      </c>
      <c r="G112" s="7" t="s">
        <v>11</v>
      </c>
      <c r="H112" s="7" t="s">
        <v>12</v>
      </c>
      <c r="I112" s="7" t="s">
        <v>614</v>
      </c>
    </row>
    <row r="113" spans="1:9" x14ac:dyDescent="0.3">
      <c r="A113" s="6">
        <v>9211</v>
      </c>
      <c r="B113" s="7" t="s">
        <v>281</v>
      </c>
      <c r="C113" s="7" t="s">
        <v>282</v>
      </c>
      <c r="D113" s="7" t="s">
        <v>85</v>
      </c>
      <c r="E113" s="7" t="s">
        <v>86</v>
      </c>
      <c r="F113" s="9">
        <f>VLOOKUP(E113,'Program Fees'!A7:B29,2,)</f>
        <v>24</v>
      </c>
      <c r="G113" s="7" t="s">
        <v>11</v>
      </c>
      <c r="H113" s="7" t="s">
        <v>12</v>
      </c>
      <c r="I113" s="7" t="s">
        <v>614</v>
      </c>
    </row>
    <row r="114" spans="1:9" x14ac:dyDescent="0.3">
      <c r="A114" s="6">
        <v>9212</v>
      </c>
      <c r="B114" s="7" t="s">
        <v>283</v>
      </c>
      <c r="C114" s="7" t="s">
        <v>284</v>
      </c>
      <c r="D114" s="7" t="s">
        <v>81</v>
      </c>
      <c r="E114" s="7" t="s">
        <v>82</v>
      </c>
      <c r="F114" s="9">
        <f>VLOOKUP(E114,'Program Fees'!A8:B30,2,)</f>
        <v>85</v>
      </c>
      <c r="G114" s="7" t="s">
        <v>11</v>
      </c>
      <c r="H114" s="7" t="s">
        <v>12</v>
      </c>
      <c r="I114" s="7" t="s">
        <v>617</v>
      </c>
    </row>
    <row r="115" spans="1:9" x14ac:dyDescent="0.3">
      <c r="A115" s="6">
        <v>9213</v>
      </c>
      <c r="B115" s="7" t="s">
        <v>285</v>
      </c>
      <c r="C115" s="7" t="s">
        <v>286</v>
      </c>
      <c r="D115" s="7" t="s">
        <v>210</v>
      </c>
      <c r="E115" s="7" t="s">
        <v>211</v>
      </c>
      <c r="F115" s="9">
        <f>VLOOKUP(E115,'Program Fees'!A9:B31,2,)</f>
        <v>26</v>
      </c>
      <c r="G115" s="7" t="s">
        <v>49</v>
      </c>
      <c r="H115" s="7" t="s">
        <v>12</v>
      </c>
      <c r="I115" s="7" t="s">
        <v>154</v>
      </c>
    </row>
    <row r="116" spans="1:9" x14ac:dyDescent="0.3">
      <c r="A116" s="6">
        <v>9214</v>
      </c>
      <c r="B116" s="7" t="s">
        <v>287</v>
      </c>
      <c r="C116" s="7" t="s">
        <v>288</v>
      </c>
      <c r="D116" s="7" t="s">
        <v>289</v>
      </c>
      <c r="E116" s="7" t="s">
        <v>16</v>
      </c>
      <c r="F116" s="9">
        <f>VLOOKUP(E116,'Program Fees'!A10:B32,2,)</f>
        <v>36</v>
      </c>
      <c r="G116" s="7" t="s">
        <v>27</v>
      </c>
      <c r="H116" s="7" t="s">
        <v>12</v>
      </c>
      <c r="I116" s="7" t="s">
        <v>615</v>
      </c>
    </row>
    <row r="117" spans="1:9" x14ac:dyDescent="0.3">
      <c r="A117" s="6">
        <v>9215</v>
      </c>
      <c r="B117" s="7" t="s">
        <v>290</v>
      </c>
      <c r="C117" s="7" t="s">
        <v>291</v>
      </c>
      <c r="D117" s="7" t="s">
        <v>201</v>
      </c>
      <c r="E117" s="7" t="s">
        <v>624</v>
      </c>
      <c r="F117" s="9">
        <f>VLOOKUP(E117,'Program Fees'!A11:B33,2,)</f>
        <v>35</v>
      </c>
      <c r="G117" s="7" t="s">
        <v>21</v>
      </c>
      <c r="H117" s="7" t="s">
        <v>12</v>
      </c>
      <c r="I117" s="7" t="s">
        <v>613</v>
      </c>
    </row>
    <row r="118" spans="1:9" x14ac:dyDescent="0.3">
      <c r="A118" s="6">
        <v>9216</v>
      </c>
      <c r="B118" s="7" t="s">
        <v>292</v>
      </c>
      <c r="C118" s="7" t="s">
        <v>293</v>
      </c>
      <c r="D118" s="7" t="s">
        <v>97</v>
      </c>
      <c r="E118" s="7" t="s">
        <v>26</v>
      </c>
      <c r="F118" s="9">
        <f>VLOOKUP(E118,'Program Fees'!A12:B34,2,)</f>
        <v>46</v>
      </c>
      <c r="G118" s="7" t="s">
        <v>191</v>
      </c>
      <c r="H118" s="7" t="s">
        <v>12</v>
      </c>
      <c r="I118" s="7" t="s">
        <v>614</v>
      </c>
    </row>
    <row r="119" spans="1:9" x14ac:dyDescent="0.3">
      <c r="A119" s="6">
        <v>9217</v>
      </c>
      <c r="B119" s="7" t="s">
        <v>294</v>
      </c>
      <c r="C119" s="7" t="s">
        <v>295</v>
      </c>
      <c r="D119" s="7" t="s">
        <v>152</v>
      </c>
      <c r="E119" s="7" t="s">
        <v>153</v>
      </c>
      <c r="F119" s="9">
        <f>VLOOKUP(E119,'Program Fees'!A2:B24,2,)</f>
        <v>23</v>
      </c>
      <c r="G119" s="7" t="s">
        <v>49</v>
      </c>
      <c r="H119" s="7" t="s">
        <v>12</v>
      </c>
      <c r="I119" s="7" t="s">
        <v>612</v>
      </c>
    </row>
    <row r="120" spans="1:9" x14ac:dyDescent="0.3">
      <c r="A120" s="6">
        <v>9218</v>
      </c>
      <c r="B120" s="7" t="s">
        <v>296</v>
      </c>
      <c r="C120" s="7" t="s">
        <v>297</v>
      </c>
      <c r="D120" s="7" t="s">
        <v>35</v>
      </c>
      <c r="E120" s="7" t="s">
        <v>36</v>
      </c>
      <c r="F120" s="9">
        <f>VLOOKUP(E120,'Program Fees'!A14:B36,2,)</f>
        <v>81</v>
      </c>
      <c r="G120" s="7" t="s">
        <v>49</v>
      </c>
      <c r="H120" s="7" t="s">
        <v>12</v>
      </c>
      <c r="I120" s="7" t="s">
        <v>154</v>
      </c>
    </row>
    <row r="121" spans="1:9" x14ac:dyDescent="0.3">
      <c r="A121" s="6">
        <v>9219</v>
      </c>
      <c r="B121" s="7" t="s">
        <v>298</v>
      </c>
      <c r="C121" s="7" t="s">
        <v>299</v>
      </c>
      <c r="D121" s="7" t="s">
        <v>60</v>
      </c>
      <c r="E121" s="7" t="s">
        <v>623</v>
      </c>
      <c r="F121" s="9">
        <f>VLOOKUP(E121,'Program Fees'!A2:B24,2,FALSE)</f>
        <v>58</v>
      </c>
      <c r="G121" s="7" t="s">
        <v>27</v>
      </c>
      <c r="H121" s="7" t="s">
        <v>22</v>
      </c>
      <c r="I121" s="7" t="s">
        <v>154</v>
      </c>
    </row>
    <row r="122" spans="1:9" x14ac:dyDescent="0.3">
      <c r="A122" s="6">
        <v>9220</v>
      </c>
      <c r="B122" s="7" t="s">
        <v>300</v>
      </c>
      <c r="C122" s="7" t="s">
        <v>301</v>
      </c>
      <c r="D122" s="7" t="s">
        <v>302</v>
      </c>
      <c r="E122" s="7" t="s">
        <v>624</v>
      </c>
      <c r="F122" s="9">
        <f>VLOOKUP(E122,'Program Fees'!A16:B38,2,)</f>
        <v>35</v>
      </c>
      <c r="G122" s="7" t="s">
        <v>49</v>
      </c>
      <c r="H122" s="7" t="s">
        <v>12</v>
      </c>
      <c r="I122" s="7" t="s">
        <v>154</v>
      </c>
    </row>
    <row r="123" spans="1:9" x14ac:dyDescent="0.3">
      <c r="A123" s="6">
        <v>9221</v>
      </c>
      <c r="B123" s="7" t="s">
        <v>303</v>
      </c>
      <c r="C123" s="7" t="s">
        <v>304</v>
      </c>
      <c r="D123" s="7" t="s">
        <v>201</v>
      </c>
      <c r="E123" s="7" t="s">
        <v>624</v>
      </c>
      <c r="F123" s="9">
        <f>VLOOKUP(E123,'Program Fees'!A17:B39,2,)</f>
        <v>35</v>
      </c>
      <c r="G123" s="7" t="s">
        <v>27</v>
      </c>
      <c r="H123" s="7" t="s">
        <v>22</v>
      </c>
      <c r="I123" s="7" t="s">
        <v>614</v>
      </c>
    </row>
    <row r="124" spans="1:9" x14ac:dyDescent="0.3">
      <c r="A124" s="6">
        <v>9222</v>
      </c>
      <c r="B124" s="7" t="s">
        <v>305</v>
      </c>
      <c r="C124" s="7" t="s">
        <v>306</v>
      </c>
      <c r="D124" s="7" t="s">
        <v>307</v>
      </c>
      <c r="E124" s="7" t="s">
        <v>16</v>
      </c>
      <c r="F124" s="9">
        <f>VLOOKUP(E124,'Program Fees'!A2:B24,2,)</f>
        <v>36</v>
      </c>
      <c r="G124" s="7" t="s">
        <v>21</v>
      </c>
      <c r="H124" s="7" t="s">
        <v>12</v>
      </c>
      <c r="I124" s="7" t="s">
        <v>617</v>
      </c>
    </row>
    <row r="125" spans="1:9" x14ac:dyDescent="0.3">
      <c r="A125" s="6">
        <v>9223</v>
      </c>
      <c r="B125" s="7" t="s">
        <v>308</v>
      </c>
      <c r="C125" s="7" t="s">
        <v>309</v>
      </c>
      <c r="D125" s="7" t="s">
        <v>105</v>
      </c>
      <c r="E125" s="7" t="s">
        <v>106</v>
      </c>
      <c r="F125" s="9">
        <f>VLOOKUP(E125,'Program Fees'!A2:B24,2,)</f>
        <v>41</v>
      </c>
      <c r="G125" s="7" t="s">
        <v>21</v>
      </c>
      <c r="H125" s="7" t="s">
        <v>12</v>
      </c>
      <c r="I125" s="7" t="s">
        <v>612</v>
      </c>
    </row>
    <row r="126" spans="1:9" x14ac:dyDescent="0.3">
      <c r="A126" s="6">
        <v>9224</v>
      </c>
      <c r="B126" s="7" t="s">
        <v>310</v>
      </c>
      <c r="C126" s="7" t="s">
        <v>80</v>
      </c>
      <c r="D126" s="7" t="s">
        <v>60</v>
      </c>
      <c r="E126" s="7" t="s">
        <v>623</v>
      </c>
      <c r="F126" s="9">
        <f>VLOOKUP(E126,'Program Fees'!A2:B24,2,)</f>
        <v>58</v>
      </c>
      <c r="G126" s="7" t="s">
        <v>11</v>
      </c>
      <c r="H126" s="7" t="s">
        <v>12</v>
      </c>
      <c r="I126" s="7" t="s">
        <v>154</v>
      </c>
    </row>
    <row r="127" spans="1:9" x14ac:dyDescent="0.3">
      <c r="A127" s="6">
        <v>9225</v>
      </c>
      <c r="B127" s="7" t="s">
        <v>311</v>
      </c>
      <c r="C127" s="7" t="s">
        <v>312</v>
      </c>
      <c r="D127" s="7" t="s">
        <v>313</v>
      </c>
      <c r="E127" s="7" t="s">
        <v>82</v>
      </c>
      <c r="F127" s="9">
        <f>VLOOKUP(E127,'Program Fees'!A2:B24,2,)</f>
        <v>85</v>
      </c>
      <c r="G127" s="7" t="s">
        <v>314</v>
      </c>
      <c r="H127" s="7" t="s">
        <v>22</v>
      </c>
      <c r="I127" s="7" t="s">
        <v>611</v>
      </c>
    </row>
    <row r="128" spans="1:9" x14ac:dyDescent="0.3">
      <c r="A128" s="6">
        <v>9226</v>
      </c>
      <c r="B128" s="7" t="s">
        <v>315</v>
      </c>
      <c r="C128" s="7" t="s">
        <v>316</v>
      </c>
      <c r="D128" s="7" t="s">
        <v>60</v>
      </c>
      <c r="E128" s="7" t="s">
        <v>623</v>
      </c>
      <c r="F128" s="9">
        <f>VLOOKUP(E128,'Program Fees'!A2:B24,2,)</f>
        <v>58</v>
      </c>
      <c r="G128" s="7" t="s">
        <v>11</v>
      </c>
      <c r="H128" s="7" t="s">
        <v>12</v>
      </c>
      <c r="I128" s="7" t="s">
        <v>618</v>
      </c>
    </row>
    <row r="129" spans="1:9" x14ac:dyDescent="0.3">
      <c r="A129" s="6">
        <v>9227</v>
      </c>
      <c r="B129" s="7" t="s">
        <v>317</v>
      </c>
      <c r="C129" s="7" t="s">
        <v>318</v>
      </c>
      <c r="D129" s="7" t="s">
        <v>97</v>
      </c>
      <c r="E129" s="7" t="s">
        <v>26</v>
      </c>
      <c r="F129" s="9">
        <f>VLOOKUP(E129,'Program Fees'!A2:B24,2,)</f>
        <v>46</v>
      </c>
      <c r="G129" s="7" t="s">
        <v>319</v>
      </c>
      <c r="H129" s="7" t="s">
        <v>22</v>
      </c>
      <c r="I129" s="7" t="s">
        <v>614</v>
      </c>
    </row>
    <row r="130" spans="1:9" x14ac:dyDescent="0.3">
      <c r="A130" s="6">
        <v>9228</v>
      </c>
      <c r="B130" s="7" t="s">
        <v>320</v>
      </c>
      <c r="C130" s="7" t="s">
        <v>321</v>
      </c>
      <c r="D130" s="7" t="s">
        <v>322</v>
      </c>
      <c r="E130" s="7" t="s">
        <v>16</v>
      </c>
      <c r="F130" s="9">
        <f>VLOOKUP(E130,'Program Fees'!A2:B24,2,)</f>
        <v>36</v>
      </c>
      <c r="G130" s="7" t="s">
        <v>32</v>
      </c>
      <c r="H130" s="7" t="s">
        <v>12</v>
      </c>
      <c r="I130" s="7" t="s">
        <v>611</v>
      </c>
    </row>
    <row r="131" spans="1:9" x14ac:dyDescent="0.3">
      <c r="A131" s="6">
        <v>9229</v>
      </c>
      <c r="B131" s="7" t="s">
        <v>323</v>
      </c>
      <c r="C131" s="7" t="s">
        <v>324</v>
      </c>
      <c r="D131" s="7" t="s">
        <v>19</v>
      </c>
      <c r="E131" s="7" t="s">
        <v>20</v>
      </c>
      <c r="F131" s="9">
        <f>VLOOKUP(E131,'Program Fees'!A2:B24,2,)</f>
        <v>86</v>
      </c>
      <c r="G131" s="7" t="s">
        <v>11</v>
      </c>
      <c r="H131" s="7" t="s">
        <v>12</v>
      </c>
      <c r="I131" s="7" t="s">
        <v>612</v>
      </c>
    </row>
    <row r="132" spans="1:9" x14ac:dyDescent="0.3">
      <c r="A132" s="6">
        <v>9230</v>
      </c>
      <c r="B132" s="7" t="s">
        <v>325</v>
      </c>
      <c r="C132" s="7" t="s">
        <v>326</v>
      </c>
      <c r="D132" s="7" t="s">
        <v>30</v>
      </c>
      <c r="E132" s="7" t="s">
        <v>31</v>
      </c>
      <c r="F132" s="9">
        <f>VLOOKUP(E132,'Program Fees'!A2:B24,2,)</f>
        <v>74</v>
      </c>
      <c r="G132" s="7" t="s">
        <v>11</v>
      </c>
      <c r="H132" s="7" t="s">
        <v>12</v>
      </c>
      <c r="I132" s="7" t="s">
        <v>611</v>
      </c>
    </row>
    <row r="133" spans="1:9" x14ac:dyDescent="0.3">
      <c r="A133" s="6">
        <v>9231</v>
      </c>
      <c r="B133" s="7" t="s">
        <v>327</v>
      </c>
      <c r="C133" s="7" t="s">
        <v>328</v>
      </c>
      <c r="D133" s="7" t="s">
        <v>19</v>
      </c>
      <c r="E133" s="7" t="s">
        <v>20</v>
      </c>
      <c r="F133" s="9">
        <f>VLOOKUP(E133,'Program Fees'!A2:B24,2,)</f>
        <v>86</v>
      </c>
      <c r="G133" s="7" t="s">
        <v>11</v>
      </c>
      <c r="H133" s="7" t="s">
        <v>12</v>
      </c>
      <c r="I133" s="7" t="s">
        <v>613</v>
      </c>
    </row>
    <row r="134" spans="1:9" x14ac:dyDescent="0.3">
      <c r="A134" s="6">
        <v>9232</v>
      </c>
      <c r="B134" s="7" t="s">
        <v>329</v>
      </c>
      <c r="C134" s="7" t="s">
        <v>330</v>
      </c>
      <c r="D134" s="7" t="s">
        <v>25</v>
      </c>
      <c r="E134" s="7" t="s">
        <v>26</v>
      </c>
      <c r="F134" s="9">
        <f>VLOOKUP(E134,'Program Fees'!A2:B24,2,)</f>
        <v>46</v>
      </c>
      <c r="G134" s="7" t="s">
        <v>32</v>
      </c>
      <c r="H134" s="7" t="s">
        <v>12</v>
      </c>
      <c r="I134" s="7" t="s">
        <v>613</v>
      </c>
    </row>
    <row r="135" spans="1:9" x14ac:dyDescent="0.3">
      <c r="A135" s="6">
        <v>9233</v>
      </c>
      <c r="B135" s="7" t="s">
        <v>331</v>
      </c>
      <c r="C135" s="7" t="s">
        <v>80</v>
      </c>
      <c r="D135" s="7" t="s">
        <v>60</v>
      </c>
      <c r="E135" s="7" t="s">
        <v>623</v>
      </c>
      <c r="F135" s="9">
        <f>VLOOKUP(E135,'Program Fees'!A2:B24,2,)</f>
        <v>58</v>
      </c>
      <c r="G135" s="7" t="s">
        <v>21</v>
      </c>
      <c r="H135" s="7" t="s">
        <v>12</v>
      </c>
      <c r="I135" s="7" t="s">
        <v>613</v>
      </c>
    </row>
    <row r="136" spans="1:9" x14ac:dyDescent="0.3">
      <c r="A136" s="6">
        <v>9234</v>
      </c>
      <c r="B136" s="7" t="s">
        <v>332</v>
      </c>
      <c r="C136" s="7" t="s">
        <v>333</v>
      </c>
      <c r="D136" s="7" t="s">
        <v>25</v>
      </c>
      <c r="E136" s="7" t="s">
        <v>26</v>
      </c>
      <c r="F136" s="9">
        <f>VLOOKUP(E136,'Program Fees'!A2:B24,2,)</f>
        <v>46</v>
      </c>
      <c r="G136" s="7" t="s">
        <v>32</v>
      </c>
      <c r="H136" s="7" t="s">
        <v>22</v>
      </c>
      <c r="I136" s="7" t="s">
        <v>613</v>
      </c>
    </row>
    <row r="137" spans="1:9" x14ac:dyDescent="0.3">
      <c r="A137" s="6">
        <v>9235</v>
      </c>
      <c r="B137" s="7" t="s">
        <v>334</v>
      </c>
      <c r="C137" s="7" t="s">
        <v>335</v>
      </c>
      <c r="D137" s="7" t="s">
        <v>19</v>
      </c>
      <c r="E137" s="7" t="s">
        <v>20</v>
      </c>
      <c r="F137" s="9">
        <f>VLOOKUP(E137,'Program Fees'!A2:B24,2,FALSE)</f>
        <v>86</v>
      </c>
      <c r="G137" s="7" t="s">
        <v>21</v>
      </c>
      <c r="H137" s="7" t="s">
        <v>12</v>
      </c>
      <c r="I137" s="7" t="s">
        <v>614</v>
      </c>
    </row>
    <row r="138" spans="1:9" x14ac:dyDescent="0.3">
      <c r="A138" s="6">
        <v>9236</v>
      </c>
      <c r="B138" s="7" t="s">
        <v>336</v>
      </c>
      <c r="C138" s="7" t="s">
        <v>278</v>
      </c>
      <c r="D138" s="7" t="s">
        <v>35</v>
      </c>
      <c r="E138" s="7" t="s">
        <v>36</v>
      </c>
      <c r="F138" s="9">
        <f>VLOOKUP(E138,'Program Fees'!A2:B24,2,FALSE)</f>
        <v>81</v>
      </c>
      <c r="G138" s="7" t="s">
        <v>49</v>
      </c>
      <c r="H138" s="7" t="s">
        <v>12</v>
      </c>
      <c r="I138" s="7" t="s">
        <v>613</v>
      </c>
    </row>
    <row r="139" spans="1:9" x14ac:dyDescent="0.3">
      <c r="A139" s="6">
        <v>9237</v>
      </c>
      <c r="B139" s="7" t="s">
        <v>337</v>
      </c>
      <c r="C139" s="7" t="s">
        <v>338</v>
      </c>
      <c r="D139" s="7" t="s">
        <v>339</v>
      </c>
      <c r="E139" s="7" t="s">
        <v>82</v>
      </c>
      <c r="F139" s="9">
        <f>VLOOKUP(E139,'Program Fees'!A3:B25,2,FALSE)</f>
        <v>85</v>
      </c>
      <c r="G139" s="7" t="s">
        <v>49</v>
      </c>
      <c r="H139" s="7" t="s">
        <v>12</v>
      </c>
      <c r="I139" s="7" t="s">
        <v>618</v>
      </c>
    </row>
    <row r="140" spans="1:9" x14ac:dyDescent="0.3">
      <c r="A140" s="6">
        <v>9238</v>
      </c>
      <c r="B140" s="7" t="s">
        <v>340</v>
      </c>
      <c r="C140" s="7" t="s">
        <v>341</v>
      </c>
      <c r="D140" s="7" t="s">
        <v>313</v>
      </c>
      <c r="E140" s="7" t="s">
        <v>82</v>
      </c>
      <c r="F140" s="9">
        <f>VLOOKUP(E140,'Program Fees'!A4:B26,2,FALSE)</f>
        <v>85</v>
      </c>
      <c r="G140" s="7" t="s">
        <v>27</v>
      </c>
      <c r="H140" s="7" t="s">
        <v>12</v>
      </c>
      <c r="I140" s="7" t="s">
        <v>617</v>
      </c>
    </row>
    <row r="141" spans="1:9" x14ac:dyDescent="0.3">
      <c r="A141" s="6">
        <v>9239</v>
      </c>
      <c r="B141" s="7" t="s">
        <v>342</v>
      </c>
      <c r="C141" s="7" t="s">
        <v>343</v>
      </c>
      <c r="D141" s="7" t="s">
        <v>19</v>
      </c>
      <c r="E141" s="7" t="s">
        <v>20</v>
      </c>
      <c r="F141" s="9">
        <f>VLOOKUP(E141,'Program Fees'!A5:B27,2,FALSE)</f>
        <v>86</v>
      </c>
      <c r="G141" s="7" t="s">
        <v>49</v>
      </c>
      <c r="H141" s="7" t="s">
        <v>12</v>
      </c>
      <c r="I141" s="7" t="s">
        <v>611</v>
      </c>
    </row>
    <row r="142" spans="1:9" x14ac:dyDescent="0.3">
      <c r="A142" s="6">
        <v>9240</v>
      </c>
      <c r="B142" s="7" t="s">
        <v>344</v>
      </c>
      <c r="C142" s="7" t="s">
        <v>345</v>
      </c>
      <c r="D142" s="7" t="s">
        <v>201</v>
      </c>
      <c r="E142" s="7" t="s">
        <v>624</v>
      </c>
      <c r="F142" s="9">
        <f>VLOOKUP(E142,'Program Fees'!A6:B28,2,FALSE)</f>
        <v>35</v>
      </c>
      <c r="G142" s="7" t="s">
        <v>11</v>
      </c>
      <c r="H142" s="7" t="s">
        <v>12</v>
      </c>
      <c r="I142" s="7" t="s">
        <v>614</v>
      </c>
    </row>
    <row r="143" spans="1:9" x14ac:dyDescent="0.3">
      <c r="A143" s="6">
        <v>9241</v>
      </c>
      <c r="B143" s="7" t="s">
        <v>346</v>
      </c>
      <c r="C143" s="7" t="s">
        <v>347</v>
      </c>
      <c r="D143" s="7" t="s">
        <v>19</v>
      </c>
      <c r="E143" s="7" t="s">
        <v>20</v>
      </c>
      <c r="F143" s="9">
        <f>VLOOKUP(E143,'Program Fees'!A2:B24,2,FALSE)</f>
        <v>86</v>
      </c>
      <c r="G143" s="7" t="s">
        <v>49</v>
      </c>
      <c r="H143" s="7" t="s">
        <v>12</v>
      </c>
      <c r="I143" s="7" t="s">
        <v>618</v>
      </c>
    </row>
    <row r="144" spans="1:9" x14ac:dyDescent="0.3">
      <c r="A144" s="6">
        <v>9242</v>
      </c>
      <c r="B144" s="7" t="s">
        <v>348</v>
      </c>
      <c r="C144" s="7" t="s">
        <v>349</v>
      </c>
      <c r="D144" s="7" t="s">
        <v>97</v>
      </c>
      <c r="E144" s="7" t="s">
        <v>26</v>
      </c>
      <c r="F144" s="9">
        <f>VLOOKUP(E144,'Program Fees'!A8:B30,2,FALSE)</f>
        <v>46</v>
      </c>
      <c r="G144" s="7" t="s">
        <v>98</v>
      </c>
      <c r="H144" s="7" t="s">
        <v>12</v>
      </c>
      <c r="I144" s="7" t="s">
        <v>617</v>
      </c>
    </row>
    <row r="145" spans="1:9" x14ac:dyDescent="0.3">
      <c r="A145" s="6">
        <v>9243</v>
      </c>
      <c r="B145" s="7" t="s">
        <v>350</v>
      </c>
      <c r="C145" s="7" t="s">
        <v>351</v>
      </c>
      <c r="D145" s="7" t="s">
        <v>19</v>
      </c>
      <c r="E145" s="7" t="s">
        <v>20</v>
      </c>
      <c r="F145" s="9">
        <f>VLOOKUP(E145,'Program Fees'!A2:B24,2,FALSE)</f>
        <v>86</v>
      </c>
      <c r="G145" s="7" t="s">
        <v>49</v>
      </c>
      <c r="H145" s="7" t="s">
        <v>12</v>
      </c>
      <c r="I145" s="7" t="s">
        <v>613</v>
      </c>
    </row>
    <row r="146" spans="1:9" x14ac:dyDescent="0.3">
      <c r="A146" s="6">
        <v>9244</v>
      </c>
      <c r="B146" s="7" t="s">
        <v>352</v>
      </c>
      <c r="C146" s="7" t="s">
        <v>353</v>
      </c>
      <c r="D146" s="7" t="s">
        <v>166</v>
      </c>
      <c r="E146" s="7" t="s">
        <v>167</v>
      </c>
      <c r="F146" s="9">
        <f>VLOOKUP(E146,'Program Fees'!A10:B32,2,FALSE)</f>
        <v>20</v>
      </c>
      <c r="G146" s="7" t="s">
        <v>11</v>
      </c>
      <c r="H146" s="7" t="s">
        <v>22</v>
      </c>
      <c r="I146" s="7" t="s">
        <v>154</v>
      </c>
    </row>
    <row r="147" spans="1:9" x14ac:dyDescent="0.3">
      <c r="A147" s="6">
        <v>9245</v>
      </c>
      <c r="B147" s="7" t="s">
        <v>354</v>
      </c>
      <c r="C147" s="7" t="s">
        <v>355</v>
      </c>
      <c r="D147" s="7" t="s">
        <v>19</v>
      </c>
      <c r="E147" s="7" t="s">
        <v>20</v>
      </c>
      <c r="F147" s="9">
        <f>VLOOKUP(E147,'Program Fees'!A2:B24,2,FALSE)</f>
        <v>86</v>
      </c>
      <c r="G147" s="7" t="s">
        <v>11</v>
      </c>
      <c r="H147" s="7" t="s">
        <v>12</v>
      </c>
      <c r="I147" s="7" t="s">
        <v>615</v>
      </c>
    </row>
    <row r="148" spans="1:9" x14ac:dyDescent="0.3">
      <c r="A148" s="6">
        <v>9246</v>
      </c>
      <c r="B148" s="7" t="s">
        <v>311</v>
      </c>
      <c r="C148" s="7" t="s">
        <v>356</v>
      </c>
      <c r="D148" s="7" t="s">
        <v>166</v>
      </c>
      <c r="E148" s="7" t="s">
        <v>167</v>
      </c>
      <c r="F148" s="9">
        <f>VLOOKUP(E148,'Program Fees'!A12:B34,2,FALSE)</f>
        <v>20</v>
      </c>
      <c r="G148" s="7" t="s">
        <v>21</v>
      </c>
      <c r="H148" s="7" t="s">
        <v>12</v>
      </c>
      <c r="I148" s="7" t="s">
        <v>612</v>
      </c>
    </row>
    <row r="149" spans="1:9" x14ac:dyDescent="0.3">
      <c r="A149" s="6">
        <v>9247</v>
      </c>
      <c r="B149" s="7" t="s">
        <v>357</v>
      </c>
      <c r="C149" s="7" t="s">
        <v>358</v>
      </c>
      <c r="D149" s="7" t="s">
        <v>105</v>
      </c>
      <c r="E149" s="7" t="s">
        <v>106</v>
      </c>
      <c r="F149" s="9">
        <f>VLOOKUP(E149,'Program Fees'!A13:B35,2,FALSE)</f>
        <v>41</v>
      </c>
      <c r="G149" s="7" t="s">
        <v>21</v>
      </c>
      <c r="H149" s="7" t="s">
        <v>12</v>
      </c>
      <c r="I149" s="7" t="s">
        <v>614</v>
      </c>
    </row>
    <row r="150" spans="1:9" x14ac:dyDescent="0.3">
      <c r="A150" s="6">
        <v>9248</v>
      </c>
      <c r="B150" s="7" t="s">
        <v>359</v>
      </c>
      <c r="C150" s="7" t="s">
        <v>360</v>
      </c>
      <c r="D150" s="7" t="s">
        <v>19</v>
      </c>
      <c r="E150" s="7" t="s">
        <v>20</v>
      </c>
      <c r="F150" s="9">
        <f>VLOOKUP(E150,'Program Fees'!A2:B24,2,FALSE)</f>
        <v>86</v>
      </c>
      <c r="G150" s="7" t="s">
        <v>11</v>
      </c>
      <c r="H150" s="7" t="s">
        <v>12</v>
      </c>
      <c r="I150" s="7" t="s">
        <v>617</v>
      </c>
    </row>
    <row r="151" spans="1:9" x14ac:dyDescent="0.3">
      <c r="A151" s="6">
        <v>9249</v>
      </c>
      <c r="B151" s="7" t="s">
        <v>361</v>
      </c>
      <c r="C151" s="7" t="s">
        <v>66</v>
      </c>
      <c r="D151" s="7" t="s">
        <v>30</v>
      </c>
      <c r="E151" s="7" t="s">
        <v>31</v>
      </c>
      <c r="F151" s="9">
        <f>VLOOKUP(E151,'Program Fees'!A2:B24,2,FALSE)</f>
        <v>74</v>
      </c>
      <c r="G151" s="7" t="s">
        <v>49</v>
      </c>
      <c r="H151" s="7" t="s">
        <v>12</v>
      </c>
      <c r="I151" s="7" t="s">
        <v>618</v>
      </c>
    </row>
    <row r="152" spans="1:9" x14ac:dyDescent="0.3">
      <c r="A152" s="6">
        <v>9250</v>
      </c>
      <c r="B152" s="7" t="s">
        <v>362</v>
      </c>
      <c r="C152" s="7" t="s">
        <v>363</v>
      </c>
      <c r="D152" s="7" t="s">
        <v>19</v>
      </c>
      <c r="E152" s="7" t="s">
        <v>20</v>
      </c>
      <c r="F152" s="9">
        <f>VLOOKUP(E152,'Program Fees'!A2:B24,2,FALSE)</f>
        <v>86</v>
      </c>
      <c r="G152" s="7" t="s">
        <v>49</v>
      </c>
      <c r="H152" s="7" t="s">
        <v>12</v>
      </c>
      <c r="I152" s="7" t="s">
        <v>613</v>
      </c>
    </row>
    <row r="153" spans="1:9" x14ac:dyDescent="0.3">
      <c r="A153" s="6">
        <v>9251</v>
      </c>
      <c r="B153" s="7" t="s">
        <v>364</v>
      </c>
      <c r="C153" s="7" t="s">
        <v>365</v>
      </c>
      <c r="D153" s="7" t="s">
        <v>201</v>
      </c>
      <c r="E153" s="7" t="s">
        <v>624</v>
      </c>
      <c r="F153" s="9">
        <f>VLOOKUP(E153,'Program Fees'!A17:B39,2,FALSE)</f>
        <v>35</v>
      </c>
      <c r="G153" s="7" t="s">
        <v>27</v>
      </c>
      <c r="H153" s="7" t="s">
        <v>12</v>
      </c>
      <c r="I153" s="7" t="s">
        <v>617</v>
      </c>
    </row>
    <row r="154" spans="1:9" x14ac:dyDescent="0.3">
      <c r="A154" s="6">
        <v>9252</v>
      </c>
      <c r="B154" s="7" t="s">
        <v>174</v>
      </c>
      <c r="C154" s="7" t="s">
        <v>366</v>
      </c>
      <c r="D154" s="7" t="s">
        <v>60</v>
      </c>
      <c r="E154" s="7" t="s">
        <v>623</v>
      </c>
      <c r="F154" s="9">
        <f>VLOOKUP(E154,'Program Fees'!A2:B24,2,FALSE)</f>
        <v>58</v>
      </c>
      <c r="G154" s="7" t="s">
        <v>11</v>
      </c>
      <c r="H154" s="7" t="s">
        <v>12</v>
      </c>
      <c r="I154" s="7" t="s">
        <v>614</v>
      </c>
    </row>
    <row r="155" spans="1:9" x14ac:dyDescent="0.3">
      <c r="A155" s="6">
        <v>9253</v>
      </c>
      <c r="B155" s="7" t="s">
        <v>367</v>
      </c>
      <c r="C155" s="7" t="s">
        <v>368</v>
      </c>
      <c r="D155" s="7" t="s">
        <v>46</v>
      </c>
      <c r="E155" s="7" t="s">
        <v>625</v>
      </c>
      <c r="F155" s="9">
        <f>VLOOKUP(E155,'Program Fees'!A19:B41,2,FALSE)</f>
        <v>64</v>
      </c>
      <c r="G155" s="7" t="s">
        <v>21</v>
      </c>
      <c r="H155" s="7" t="s">
        <v>12</v>
      </c>
      <c r="I155" s="7" t="s">
        <v>617</v>
      </c>
    </row>
    <row r="156" spans="1:9" x14ac:dyDescent="0.3">
      <c r="A156" s="6">
        <v>9254</v>
      </c>
      <c r="B156" s="7" t="s">
        <v>369</v>
      </c>
      <c r="C156" s="7" t="s">
        <v>370</v>
      </c>
      <c r="D156" s="7" t="s">
        <v>201</v>
      </c>
      <c r="E156" s="7" t="s">
        <v>624</v>
      </c>
      <c r="F156" s="9">
        <f>VLOOKUP(E156,'Program Fees'!A20:B42,2,FALSE)</f>
        <v>35</v>
      </c>
      <c r="G156" s="7" t="s">
        <v>11</v>
      </c>
      <c r="H156" s="7" t="s">
        <v>12</v>
      </c>
      <c r="I156" s="7" t="s">
        <v>618</v>
      </c>
    </row>
    <row r="157" spans="1:9" x14ac:dyDescent="0.3">
      <c r="A157" s="6">
        <v>9255</v>
      </c>
      <c r="B157" s="7" t="s">
        <v>371</v>
      </c>
      <c r="C157" s="7" t="s">
        <v>372</v>
      </c>
      <c r="D157" s="7" t="s">
        <v>19</v>
      </c>
      <c r="E157" s="7" t="s">
        <v>20</v>
      </c>
      <c r="F157" s="9">
        <f>VLOOKUP(E157,'Program Fees'!A2:B24,2,FALSE)</f>
        <v>86</v>
      </c>
      <c r="G157" s="7" t="s">
        <v>11</v>
      </c>
      <c r="H157" s="7" t="s">
        <v>12</v>
      </c>
      <c r="I157" s="7" t="s">
        <v>613</v>
      </c>
    </row>
    <row r="158" spans="1:9" x14ac:dyDescent="0.3">
      <c r="A158" s="6">
        <v>9256</v>
      </c>
      <c r="B158" s="7" t="s">
        <v>373</v>
      </c>
      <c r="C158" s="7" t="s">
        <v>374</v>
      </c>
      <c r="D158" s="7" t="s">
        <v>322</v>
      </c>
      <c r="E158" s="7" t="s">
        <v>16</v>
      </c>
      <c r="F158" s="9">
        <f>VLOOKUP(E158,'Program Fees'!A2:B24,2,FALSE)</f>
        <v>36</v>
      </c>
      <c r="G158" s="7" t="s">
        <v>11</v>
      </c>
      <c r="H158" s="7" t="s">
        <v>12</v>
      </c>
      <c r="I158" s="7" t="s">
        <v>617</v>
      </c>
    </row>
    <row r="159" spans="1:9" x14ac:dyDescent="0.3">
      <c r="A159" s="6">
        <v>9257</v>
      </c>
      <c r="B159" s="7" t="s">
        <v>375</v>
      </c>
      <c r="C159" s="7" t="s">
        <v>368</v>
      </c>
      <c r="D159" s="7" t="s">
        <v>376</v>
      </c>
      <c r="E159" s="7" t="s">
        <v>621</v>
      </c>
      <c r="F159" s="9">
        <f>VLOOKUP(E159,'Program Fees'!A2:B24,2,FALSE)</f>
        <v>21</v>
      </c>
      <c r="G159" s="7" t="s">
        <v>32</v>
      </c>
      <c r="H159" s="7" t="s">
        <v>22</v>
      </c>
      <c r="I159" s="7" t="s">
        <v>615</v>
      </c>
    </row>
    <row r="160" spans="1:9" x14ac:dyDescent="0.3">
      <c r="A160" s="6">
        <v>9258</v>
      </c>
      <c r="B160" s="7" t="s">
        <v>377</v>
      </c>
      <c r="C160" s="7" t="s">
        <v>378</v>
      </c>
      <c r="D160" s="7" t="s">
        <v>170</v>
      </c>
      <c r="E160" s="7" t="s">
        <v>171</v>
      </c>
      <c r="F160" s="9">
        <f>VLOOKUP(E160,'Program Fees'!A2:B24,2,FALSE)</f>
        <v>68</v>
      </c>
      <c r="G160" s="7" t="s">
        <v>41</v>
      </c>
      <c r="H160" s="7" t="s">
        <v>12</v>
      </c>
      <c r="I160" s="7" t="s">
        <v>614</v>
      </c>
    </row>
    <row r="161" spans="1:9" x14ac:dyDescent="0.3">
      <c r="A161" s="6">
        <v>9259</v>
      </c>
      <c r="B161" s="7" t="s">
        <v>379</v>
      </c>
      <c r="C161" s="7" t="s">
        <v>173</v>
      </c>
      <c r="D161" s="7" t="s">
        <v>19</v>
      </c>
      <c r="E161" s="7" t="s">
        <v>20</v>
      </c>
      <c r="F161" s="9">
        <f>VLOOKUP(E161,'Program Fees'!A2:B24,2,FALSE)</f>
        <v>86</v>
      </c>
      <c r="G161" s="7" t="s">
        <v>21</v>
      </c>
      <c r="H161" s="7" t="s">
        <v>12</v>
      </c>
      <c r="I161" s="7" t="s">
        <v>613</v>
      </c>
    </row>
    <row r="162" spans="1:9" x14ac:dyDescent="0.3">
      <c r="A162" s="6">
        <v>9260</v>
      </c>
      <c r="B162" s="7" t="s">
        <v>380</v>
      </c>
      <c r="C162" s="7" t="s">
        <v>381</v>
      </c>
      <c r="D162" s="7" t="s">
        <v>19</v>
      </c>
      <c r="E162" s="7" t="s">
        <v>20</v>
      </c>
      <c r="F162" s="9">
        <f>VLOOKUP(E162,'Program Fees'!A2:B24,2,FALSE)</f>
        <v>86</v>
      </c>
      <c r="G162" s="7" t="s">
        <v>21</v>
      </c>
      <c r="H162" s="7" t="s">
        <v>12</v>
      </c>
      <c r="I162" s="7" t="s">
        <v>615</v>
      </c>
    </row>
    <row r="163" spans="1:9" x14ac:dyDescent="0.3">
      <c r="A163" s="6">
        <v>9261</v>
      </c>
      <c r="B163" s="7" t="s">
        <v>382</v>
      </c>
      <c r="C163" s="7" t="s">
        <v>383</v>
      </c>
      <c r="D163" s="7" t="s">
        <v>19</v>
      </c>
      <c r="E163" s="7" t="s">
        <v>20</v>
      </c>
      <c r="F163" s="9">
        <f>VLOOKUP(E163,'Program Fees'!A2:B24,2,FALSE)</f>
        <v>86</v>
      </c>
      <c r="G163" s="7" t="s">
        <v>11</v>
      </c>
      <c r="H163" s="7" t="s">
        <v>12</v>
      </c>
      <c r="I163" s="7" t="s">
        <v>617</v>
      </c>
    </row>
    <row r="164" spans="1:9" x14ac:dyDescent="0.3">
      <c r="A164" s="6">
        <v>9262</v>
      </c>
      <c r="B164" s="7" t="s">
        <v>384</v>
      </c>
      <c r="C164" s="7" t="s">
        <v>385</v>
      </c>
      <c r="D164" s="7" t="s">
        <v>163</v>
      </c>
      <c r="E164" s="7" t="s">
        <v>86</v>
      </c>
      <c r="F164" s="9">
        <f>VLOOKUP(E164,'Program Fees'!A2:B24,2,FALSE)</f>
        <v>24</v>
      </c>
      <c r="G164" s="7" t="s">
        <v>98</v>
      </c>
      <c r="H164" s="7" t="s">
        <v>12</v>
      </c>
      <c r="I164" s="7" t="s">
        <v>617</v>
      </c>
    </row>
    <row r="165" spans="1:9" x14ac:dyDescent="0.3">
      <c r="A165" s="6">
        <v>9263</v>
      </c>
      <c r="B165" s="7" t="s">
        <v>386</v>
      </c>
      <c r="C165" s="7" t="s">
        <v>387</v>
      </c>
      <c r="D165" s="7" t="s">
        <v>30</v>
      </c>
      <c r="E165" s="7" t="s">
        <v>31</v>
      </c>
      <c r="F165" s="9">
        <f>VLOOKUP(E165,'Program Fees'!A2:B24,2,FALSE)</f>
        <v>74</v>
      </c>
      <c r="G165" s="7" t="s">
        <v>21</v>
      </c>
      <c r="H165" s="7" t="s">
        <v>12</v>
      </c>
      <c r="I165" s="7" t="s">
        <v>616</v>
      </c>
    </row>
    <row r="166" spans="1:9" x14ac:dyDescent="0.3">
      <c r="A166" s="6">
        <v>9264</v>
      </c>
      <c r="B166" s="7" t="s">
        <v>388</v>
      </c>
      <c r="C166" s="7" t="s">
        <v>341</v>
      </c>
      <c r="D166" s="7" t="s">
        <v>19</v>
      </c>
      <c r="E166" s="7" t="s">
        <v>20</v>
      </c>
      <c r="F166" s="9">
        <f>VLOOKUP(E166,'Program Fees'!A2:B24,2,FALSE)</f>
        <v>86</v>
      </c>
      <c r="G166" s="7" t="s">
        <v>49</v>
      </c>
      <c r="H166" s="7" t="s">
        <v>22</v>
      </c>
      <c r="I166" s="7" t="s">
        <v>154</v>
      </c>
    </row>
    <row r="167" spans="1:9" x14ac:dyDescent="0.3">
      <c r="A167" s="6">
        <v>9265</v>
      </c>
      <c r="B167" s="7" t="s">
        <v>389</v>
      </c>
      <c r="C167" s="7" t="s">
        <v>358</v>
      </c>
      <c r="D167" s="7" t="s">
        <v>19</v>
      </c>
      <c r="E167" s="7" t="s">
        <v>20</v>
      </c>
      <c r="F167" s="9">
        <f>VLOOKUP(E167,'Program Fees'!A2:B24,2,FALSE)</f>
        <v>86</v>
      </c>
      <c r="G167" s="7" t="s">
        <v>11</v>
      </c>
      <c r="H167" s="7" t="s">
        <v>12</v>
      </c>
      <c r="I167" s="7" t="s">
        <v>617</v>
      </c>
    </row>
    <row r="168" spans="1:9" x14ac:dyDescent="0.3">
      <c r="A168" s="6">
        <v>9266</v>
      </c>
      <c r="B168" s="7" t="s">
        <v>390</v>
      </c>
      <c r="C168" s="7" t="s">
        <v>391</v>
      </c>
      <c r="D168" s="7" t="s">
        <v>25</v>
      </c>
      <c r="E168" s="7" t="s">
        <v>26</v>
      </c>
      <c r="F168" s="9">
        <f>VLOOKUP(E168,'Program Fees'!A2:B24,2,FALSE)</f>
        <v>46</v>
      </c>
      <c r="G168" s="7" t="s">
        <v>11</v>
      </c>
      <c r="H168" s="7" t="s">
        <v>12</v>
      </c>
      <c r="I168" s="7" t="s">
        <v>611</v>
      </c>
    </row>
    <row r="169" spans="1:9" x14ac:dyDescent="0.3">
      <c r="A169" s="6">
        <v>9267</v>
      </c>
      <c r="B169" s="7" t="s">
        <v>392</v>
      </c>
      <c r="C169" s="7" t="s">
        <v>393</v>
      </c>
      <c r="D169" s="7" t="s">
        <v>322</v>
      </c>
      <c r="E169" s="7" t="s">
        <v>16</v>
      </c>
      <c r="F169" s="9">
        <f>VLOOKUP(E169,'Program Fees'!A2:B24,2,FALSE)</f>
        <v>36</v>
      </c>
      <c r="G169" s="7" t="s">
        <v>49</v>
      </c>
      <c r="H169" s="7" t="s">
        <v>12</v>
      </c>
      <c r="I169" s="7" t="s">
        <v>612</v>
      </c>
    </row>
    <row r="170" spans="1:9" x14ac:dyDescent="0.3">
      <c r="A170" s="6">
        <v>9268</v>
      </c>
      <c r="B170" s="7" t="s">
        <v>342</v>
      </c>
      <c r="C170" s="7" t="s">
        <v>394</v>
      </c>
      <c r="D170" s="7" t="s">
        <v>19</v>
      </c>
      <c r="E170" s="7" t="s">
        <v>20</v>
      </c>
      <c r="F170" s="9">
        <f>VLOOKUP(E170,'Program Fees'!A2:B24,2,FALSE)</f>
        <v>86</v>
      </c>
      <c r="G170" s="7" t="s">
        <v>49</v>
      </c>
      <c r="H170" s="7" t="s">
        <v>12</v>
      </c>
      <c r="I170" s="7" t="s">
        <v>611</v>
      </c>
    </row>
    <row r="171" spans="1:9" x14ac:dyDescent="0.3">
      <c r="A171" s="6">
        <v>9269</v>
      </c>
      <c r="B171" s="7" t="s">
        <v>395</v>
      </c>
      <c r="C171" s="7" t="s">
        <v>396</v>
      </c>
      <c r="D171" s="7" t="s">
        <v>19</v>
      </c>
      <c r="E171" s="7" t="s">
        <v>20</v>
      </c>
      <c r="F171" s="9">
        <f>VLOOKUP(E171,'Program Fees'!A2:B24,2,FALSE)</f>
        <v>86</v>
      </c>
      <c r="G171" s="7" t="s">
        <v>21</v>
      </c>
      <c r="H171" s="7" t="s">
        <v>22</v>
      </c>
      <c r="I171" s="7" t="s">
        <v>618</v>
      </c>
    </row>
    <row r="172" spans="1:9" x14ac:dyDescent="0.3">
      <c r="A172" s="6">
        <v>9270</v>
      </c>
      <c r="B172" s="7" t="s">
        <v>397</v>
      </c>
      <c r="C172" s="7" t="s">
        <v>398</v>
      </c>
      <c r="D172" s="7" t="s">
        <v>19</v>
      </c>
      <c r="E172" s="7" t="s">
        <v>20</v>
      </c>
      <c r="F172" s="9">
        <f>VLOOKUP(E172,'Program Fees'!A2:B24,2,FALSE)</f>
        <v>86</v>
      </c>
      <c r="G172" s="7" t="s">
        <v>21</v>
      </c>
      <c r="H172" s="7" t="s">
        <v>12</v>
      </c>
      <c r="I172" s="7" t="s">
        <v>616</v>
      </c>
    </row>
    <row r="173" spans="1:9" x14ac:dyDescent="0.3">
      <c r="A173" s="6">
        <v>9271</v>
      </c>
      <c r="B173" s="7" t="s">
        <v>399</v>
      </c>
      <c r="C173" s="7" t="s">
        <v>400</v>
      </c>
      <c r="D173" s="7" t="s">
        <v>19</v>
      </c>
      <c r="E173" s="7" t="s">
        <v>20</v>
      </c>
      <c r="F173" s="9">
        <f>VLOOKUP(E173,'Program Fees'!A2:B24,2,FALSE)</f>
        <v>86</v>
      </c>
      <c r="G173" s="7" t="s">
        <v>49</v>
      </c>
      <c r="H173" s="7" t="s">
        <v>12</v>
      </c>
      <c r="I173" s="7" t="s">
        <v>616</v>
      </c>
    </row>
    <row r="174" spans="1:9" x14ac:dyDescent="0.3">
      <c r="A174" s="6">
        <v>9272</v>
      </c>
      <c r="B174" s="7" t="s">
        <v>401</v>
      </c>
      <c r="C174" s="7" t="s">
        <v>402</v>
      </c>
      <c r="D174" s="7" t="s">
        <v>9</v>
      </c>
      <c r="E174" s="7" t="s">
        <v>10</v>
      </c>
      <c r="F174" s="9">
        <f>VLOOKUP(E174,'Program Fees'!A2:B24,2,FALSE)</f>
        <v>27</v>
      </c>
      <c r="G174" s="7" t="s">
        <v>11</v>
      </c>
      <c r="H174" s="7" t="s">
        <v>12</v>
      </c>
      <c r="I174" s="7" t="s">
        <v>612</v>
      </c>
    </row>
    <row r="175" spans="1:9" x14ac:dyDescent="0.3">
      <c r="A175" s="6">
        <v>9273</v>
      </c>
      <c r="B175" s="7" t="s">
        <v>403</v>
      </c>
      <c r="C175" s="7" t="s">
        <v>404</v>
      </c>
      <c r="D175" s="7" t="s">
        <v>405</v>
      </c>
      <c r="E175" s="7" t="s">
        <v>621</v>
      </c>
      <c r="F175" s="9">
        <f>VLOOKUP(E175,'Program Fees'!A2:B24,2,FALSE)</f>
        <v>21</v>
      </c>
      <c r="G175" s="7" t="s">
        <v>21</v>
      </c>
      <c r="H175" s="7" t="s">
        <v>12</v>
      </c>
      <c r="I175" s="7" t="s">
        <v>618</v>
      </c>
    </row>
    <row r="176" spans="1:9" x14ac:dyDescent="0.3">
      <c r="A176" s="6">
        <v>9274</v>
      </c>
      <c r="B176" s="7" t="s">
        <v>406</v>
      </c>
      <c r="C176" s="7" t="s">
        <v>407</v>
      </c>
      <c r="D176" s="7" t="s">
        <v>35</v>
      </c>
      <c r="E176" s="7" t="s">
        <v>36</v>
      </c>
      <c r="F176" s="9">
        <f>VLOOKUP(E176,'Program Fees'!A2:B24,2,FALSE)</f>
        <v>81</v>
      </c>
      <c r="G176" s="7" t="s">
        <v>11</v>
      </c>
      <c r="H176" s="7" t="s">
        <v>12</v>
      </c>
      <c r="I176" s="7" t="s">
        <v>614</v>
      </c>
    </row>
    <row r="177" spans="1:9" x14ac:dyDescent="0.3">
      <c r="A177" s="6">
        <v>9275</v>
      </c>
      <c r="B177" s="7" t="s">
        <v>408</v>
      </c>
      <c r="C177" s="7" t="s">
        <v>165</v>
      </c>
      <c r="D177" s="7" t="s">
        <v>19</v>
      </c>
      <c r="E177" s="7" t="s">
        <v>20</v>
      </c>
      <c r="F177" s="9">
        <f>VLOOKUP(E177,'Program Fees'!A2:B24,2,FALSE)</f>
        <v>86</v>
      </c>
      <c r="G177" s="7" t="s">
        <v>11</v>
      </c>
      <c r="H177" s="7" t="s">
        <v>12</v>
      </c>
      <c r="I177" s="7" t="s">
        <v>611</v>
      </c>
    </row>
    <row r="178" spans="1:9" x14ac:dyDescent="0.3">
      <c r="A178" s="6">
        <v>9276</v>
      </c>
      <c r="B178" s="7" t="s">
        <v>409</v>
      </c>
      <c r="C178" s="7" t="s">
        <v>410</v>
      </c>
      <c r="D178" s="7" t="s">
        <v>60</v>
      </c>
      <c r="E178" s="7" t="s">
        <v>623</v>
      </c>
      <c r="F178" s="9">
        <f>VLOOKUP(E178,'Program Fees'!A2:B24,2,FALSE)</f>
        <v>58</v>
      </c>
      <c r="G178" s="7" t="s">
        <v>11</v>
      </c>
      <c r="H178" s="7" t="s">
        <v>12</v>
      </c>
      <c r="I178" s="7" t="s">
        <v>618</v>
      </c>
    </row>
    <row r="179" spans="1:9" x14ac:dyDescent="0.3">
      <c r="A179" s="6">
        <v>9277</v>
      </c>
      <c r="B179" s="7" t="s">
        <v>411</v>
      </c>
      <c r="C179" s="7" t="s">
        <v>412</v>
      </c>
      <c r="D179" s="7" t="s">
        <v>30</v>
      </c>
      <c r="E179" s="7" t="s">
        <v>31</v>
      </c>
      <c r="F179" s="9">
        <f>VLOOKUP(E179,'Program Fees'!A2:B24,2,FALSE)</f>
        <v>74</v>
      </c>
      <c r="G179" s="7" t="s">
        <v>11</v>
      </c>
      <c r="H179" s="7" t="s">
        <v>12</v>
      </c>
      <c r="I179" s="7" t="s">
        <v>612</v>
      </c>
    </row>
    <row r="180" spans="1:9" x14ac:dyDescent="0.3">
      <c r="A180" s="6">
        <v>9278</v>
      </c>
      <c r="B180" s="7" t="s">
        <v>413</v>
      </c>
      <c r="C180" s="7" t="s">
        <v>414</v>
      </c>
      <c r="D180" s="7" t="s">
        <v>210</v>
      </c>
      <c r="E180" s="7" t="s">
        <v>211</v>
      </c>
      <c r="F180" s="9">
        <f>VLOOKUP(E180,'Program Fees'!A2:B24,2,FALSE)</f>
        <v>26</v>
      </c>
      <c r="G180" s="7" t="s">
        <v>27</v>
      </c>
      <c r="H180" s="7" t="s">
        <v>12</v>
      </c>
      <c r="I180" s="7" t="s">
        <v>614</v>
      </c>
    </row>
    <row r="181" spans="1:9" x14ac:dyDescent="0.3">
      <c r="A181" s="6">
        <v>9279</v>
      </c>
      <c r="B181" s="7" t="s">
        <v>415</v>
      </c>
      <c r="C181" s="7" t="s">
        <v>416</v>
      </c>
      <c r="D181" s="7" t="s">
        <v>63</v>
      </c>
      <c r="E181" s="7" t="s">
        <v>64</v>
      </c>
      <c r="F181" s="9">
        <f>VLOOKUP(E181,'Program Fees'!A2:B24,2,FALSE)</f>
        <v>49</v>
      </c>
      <c r="G181" s="7" t="s">
        <v>11</v>
      </c>
      <c r="H181" s="7" t="s">
        <v>12</v>
      </c>
      <c r="I181" s="7" t="s">
        <v>613</v>
      </c>
    </row>
    <row r="182" spans="1:9" x14ac:dyDescent="0.3">
      <c r="A182" s="6">
        <v>9280</v>
      </c>
      <c r="B182" s="7" t="s">
        <v>417</v>
      </c>
      <c r="C182" s="7" t="s">
        <v>418</v>
      </c>
      <c r="D182" s="7" t="s">
        <v>97</v>
      </c>
      <c r="E182" s="7" t="s">
        <v>26</v>
      </c>
      <c r="F182" s="9">
        <f>VLOOKUP(E182,'Program Fees'!A2:B24,2,FALSE)</f>
        <v>46</v>
      </c>
      <c r="G182" s="7" t="s">
        <v>11</v>
      </c>
      <c r="H182" s="7" t="s">
        <v>12</v>
      </c>
      <c r="I182" s="7" t="s">
        <v>154</v>
      </c>
    </row>
    <row r="183" spans="1:9" x14ac:dyDescent="0.3">
      <c r="A183" s="6">
        <v>9281</v>
      </c>
      <c r="B183" s="7" t="s">
        <v>419</v>
      </c>
      <c r="C183" s="7" t="s">
        <v>420</v>
      </c>
      <c r="D183" s="7" t="s">
        <v>39</v>
      </c>
      <c r="E183" s="7" t="s">
        <v>40</v>
      </c>
      <c r="F183" s="9">
        <f>VLOOKUP(E183,'Program Fees'!A2:B24,2,FALSE)</f>
        <v>75</v>
      </c>
      <c r="G183" s="7" t="s">
        <v>41</v>
      </c>
      <c r="H183" s="7" t="s">
        <v>12</v>
      </c>
      <c r="I183" s="7" t="s">
        <v>154</v>
      </c>
    </row>
    <row r="184" spans="1:9" x14ac:dyDescent="0.3">
      <c r="A184" s="6">
        <v>9282</v>
      </c>
      <c r="B184" s="7" t="s">
        <v>421</v>
      </c>
      <c r="C184" s="7" t="s">
        <v>422</v>
      </c>
      <c r="D184" s="7" t="s">
        <v>105</v>
      </c>
      <c r="E184" s="7" t="s">
        <v>106</v>
      </c>
      <c r="F184" s="9">
        <f>VLOOKUP(E184,'Program Fees'!A2:B24,2,FALSE)</f>
        <v>41</v>
      </c>
      <c r="G184" s="7" t="s">
        <v>21</v>
      </c>
      <c r="H184" s="7" t="s">
        <v>12</v>
      </c>
      <c r="I184" s="7" t="s">
        <v>617</v>
      </c>
    </row>
    <row r="185" spans="1:9" x14ac:dyDescent="0.3">
      <c r="A185" s="6">
        <v>9283</v>
      </c>
      <c r="B185" s="7" t="s">
        <v>423</v>
      </c>
      <c r="C185" s="7" t="s">
        <v>143</v>
      </c>
      <c r="D185" s="7" t="s">
        <v>30</v>
      </c>
      <c r="E185" s="7" t="s">
        <v>31</v>
      </c>
      <c r="F185" s="9">
        <f>VLOOKUP(E185,'Program Fees'!A2:B24,2,FALSE)</f>
        <v>74</v>
      </c>
      <c r="G185" s="7" t="s">
        <v>32</v>
      </c>
      <c r="H185" s="7" t="s">
        <v>22</v>
      </c>
      <c r="I185" s="7" t="s">
        <v>617</v>
      </c>
    </row>
    <row r="186" spans="1:9" x14ac:dyDescent="0.3">
      <c r="A186" s="6">
        <v>9284</v>
      </c>
      <c r="B186" s="7" t="s">
        <v>424</v>
      </c>
      <c r="C186" s="7" t="s">
        <v>425</v>
      </c>
      <c r="D186" s="7" t="s">
        <v>313</v>
      </c>
      <c r="E186" s="7" t="s">
        <v>82</v>
      </c>
      <c r="F186" s="9">
        <f>VLOOKUP(E186,'Program Fees'!A2:B24,2,FALSE)</f>
        <v>85</v>
      </c>
      <c r="G186" s="7" t="s">
        <v>27</v>
      </c>
      <c r="H186" s="7" t="s">
        <v>12</v>
      </c>
      <c r="I186" s="7" t="s">
        <v>611</v>
      </c>
    </row>
    <row r="187" spans="1:9" x14ac:dyDescent="0.3">
      <c r="A187" s="6">
        <v>9285</v>
      </c>
      <c r="B187" s="7" t="s">
        <v>426</v>
      </c>
      <c r="C187" s="7" t="s">
        <v>427</v>
      </c>
      <c r="D187" s="7" t="s">
        <v>322</v>
      </c>
      <c r="E187" s="7" t="s">
        <v>16</v>
      </c>
      <c r="F187" s="9">
        <f>VLOOKUP(E187,'Program Fees'!A2:B24,2,FALSE)</f>
        <v>36</v>
      </c>
      <c r="G187" s="7" t="s">
        <v>11</v>
      </c>
      <c r="H187" s="7" t="s">
        <v>12</v>
      </c>
      <c r="I187" s="7" t="s">
        <v>611</v>
      </c>
    </row>
    <row r="188" spans="1:9" x14ac:dyDescent="0.3">
      <c r="A188" s="6">
        <v>9286</v>
      </c>
      <c r="B188" s="7" t="s">
        <v>428</v>
      </c>
      <c r="C188" s="7" t="s">
        <v>76</v>
      </c>
      <c r="D188" s="7" t="s">
        <v>19</v>
      </c>
      <c r="E188" s="7" t="s">
        <v>20</v>
      </c>
      <c r="F188" s="9">
        <f>VLOOKUP(E188,'Program Fees'!A2:B24,2,FALSE)</f>
        <v>86</v>
      </c>
      <c r="G188" s="7" t="s">
        <v>27</v>
      </c>
      <c r="H188" s="7" t="s">
        <v>12</v>
      </c>
      <c r="I188" s="7" t="s">
        <v>615</v>
      </c>
    </row>
    <row r="189" spans="1:9" x14ac:dyDescent="0.3">
      <c r="A189" s="6">
        <v>9287</v>
      </c>
      <c r="B189" s="7" t="s">
        <v>311</v>
      </c>
      <c r="C189" s="7" t="s">
        <v>429</v>
      </c>
      <c r="D189" s="7" t="s">
        <v>430</v>
      </c>
      <c r="E189" s="7" t="s">
        <v>82</v>
      </c>
      <c r="F189" s="9">
        <f>VLOOKUP(E189,'Program Fees'!A2:B24,2,FALSE)</f>
        <v>85</v>
      </c>
      <c r="G189" s="7" t="s">
        <v>32</v>
      </c>
      <c r="H189" s="7" t="s">
        <v>22</v>
      </c>
      <c r="I189" s="7" t="s">
        <v>612</v>
      </c>
    </row>
    <row r="190" spans="1:9" x14ac:dyDescent="0.3">
      <c r="A190" s="6">
        <v>9288</v>
      </c>
      <c r="B190" s="7" t="s">
        <v>129</v>
      </c>
      <c r="C190" s="7" t="s">
        <v>29</v>
      </c>
      <c r="D190" s="7" t="s">
        <v>30</v>
      </c>
      <c r="E190" s="7" t="s">
        <v>31</v>
      </c>
      <c r="F190" s="9">
        <f>VLOOKUP(E190,'Program Fees'!A2:B24,2,FALSE)</f>
        <v>74</v>
      </c>
      <c r="G190" s="7" t="s">
        <v>11</v>
      </c>
      <c r="H190" s="7" t="s">
        <v>12</v>
      </c>
      <c r="I190" s="7" t="s">
        <v>617</v>
      </c>
    </row>
    <row r="191" spans="1:9" x14ac:dyDescent="0.3">
      <c r="A191" s="6">
        <v>9289</v>
      </c>
      <c r="B191" s="7" t="s">
        <v>431</v>
      </c>
      <c r="C191" s="7" t="s">
        <v>432</v>
      </c>
      <c r="D191" s="7" t="s">
        <v>105</v>
      </c>
      <c r="E191" s="7" t="s">
        <v>106</v>
      </c>
      <c r="F191" s="9">
        <f>VLOOKUP(E191,'Program Fees'!A2:B24,2,FALSE)</f>
        <v>41</v>
      </c>
      <c r="G191" s="7" t="s">
        <v>11</v>
      </c>
      <c r="H191" s="7" t="s">
        <v>12</v>
      </c>
      <c r="I191" s="7" t="s">
        <v>618</v>
      </c>
    </row>
    <row r="192" spans="1:9" x14ac:dyDescent="0.3">
      <c r="A192" s="6">
        <v>9290</v>
      </c>
      <c r="B192" s="7" t="s">
        <v>433</v>
      </c>
      <c r="C192" s="7" t="s">
        <v>434</v>
      </c>
      <c r="D192" s="7" t="s">
        <v>19</v>
      </c>
      <c r="E192" s="7" t="s">
        <v>20</v>
      </c>
      <c r="F192" s="9">
        <f>VLOOKUP(E192,'Program Fees'!A2:B24,2,FALSE)</f>
        <v>86</v>
      </c>
      <c r="G192" s="7" t="s">
        <v>11</v>
      </c>
      <c r="H192" s="7" t="s">
        <v>12</v>
      </c>
      <c r="I192" s="7" t="s">
        <v>154</v>
      </c>
    </row>
    <row r="193" spans="1:9" x14ac:dyDescent="0.3">
      <c r="A193" s="6">
        <v>9291</v>
      </c>
      <c r="B193" s="7" t="s">
        <v>435</v>
      </c>
      <c r="C193" s="7" t="s">
        <v>436</v>
      </c>
      <c r="D193" s="7" t="s">
        <v>74</v>
      </c>
      <c r="E193" s="7" t="s">
        <v>622</v>
      </c>
      <c r="F193" s="9">
        <f>VLOOKUP(E193,'Program Fees'!A2:B24,2,FALSE)</f>
        <v>60</v>
      </c>
      <c r="G193" s="7" t="s">
        <v>11</v>
      </c>
      <c r="H193" s="7" t="s">
        <v>12</v>
      </c>
      <c r="I193" s="7" t="s">
        <v>617</v>
      </c>
    </row>
    <row r="194" spans="1:9" x14ac:dyDescent="0.3">
      <c r="A194" s="6">
        <v>9292</v>
      </c>
      <c r="B194" s="7" t="s">
        <v>437</v>
      </c>
      <c r="C194" s="7" t="s">
        <v>193</v>
      </c>
      <c r="D194" s="7" t="s">
        <v>35</v>
      </c>
      <c r="E194" s="7" t="s">
        <v>36</v>
      </c>
      <c r="F194" s="9">
        <f>VLOOKUP(E194,'Program Fees'!A2:B24,2,FALSE)</f>
        <v>81</v>
      </c>
      <c r="G194" s="7" t="s">
        <v>49</v>
      </c>
      <c r="H194" s="7" t="s">
        <v>12</v>
      </c>
      <c r="I194" s="7" t="s">
        <v>154</v>
      </c>
    </row>
    <row r="195" spans="1:9" x14ac:dyDescent="0.3">
      <c r="A195" s="6">
        <v>9293</v>
      </c>
      <c r="B195" s="7" t="s">
        <v>438</v>
      </c>
      <c r="C195" s="7" t="s">
        <v>439</v>
      </c>
      <c r="D195" s="7" t="s">
        <v>30</v>
      </c>
      <c r="E195" s="7" t="s">
        <v>31</v>
      </c>
      <c r="F195" s="9">
        <f>VLOOKUP(E195,'Program Fees'!A2:B24,2,FALSE)</f>
        <v>74</v>
      </c>
      <c r="G195" s="7" t="s">
        <v>32</v>
      </c>
      <c r="H195" s="7" t="s">
        <v>12</v>
      </c>
      <c r="I195" s="7" t="s">
        <v>616</v>
      </c>
    </row>
    <row r="196" spans="1:9" x14ac:dyDescent="0.3">
      <c r="A196" s="6">
        <v>9294</v>
      </c>
      <c r="B196" s="7" t="s">
        <v>440</v>
      </c>
      <c r="C196" s="7" t="s">
        <v>441</v>
      </c>
      <c r="D196" s="7" t="s">
        <v>339</v>
      </c>
      <c r="E196" s="7" t="s">
        <v>82</v>
      </c>
      <c r="F196" s="9">
        <f>VLOOKUP(E196,'Program Fees'!A2:B24,2,FALSE)</f>
        <v>85</v>
      </c>
      <c r="G196" s="7" t="s">
        <v>32</v>
      </c>
      <c r="H196" s="7" t="s">
        <v>12</v>
      </c>
      <c r="I196" s="7" t="s">
        <v>617</v>
      </c>
    </row>
    <row r="197" spans="1:9" x14ac:dyDescent="0.3">
      <c r="A197" s="6">
        <v>9295</v>
      </c>
      <c r="B197" s="7" t="s">
        <v>442</v>
      </c>
      <c r="C197" s="7" t="s">
        <v>443</v>
      </c>
      <c r="D197" s="7" t="s">
        <v>19</v>
      </c>
      <c r="E197" s="7" t="s">
        <v>20</v>
      </c>
      <c r="F197" s="9">
        <f>VLOOKUP(E197,'Program Fees'!A2:B24,2,FALSE)</f>
        <v>86</v>
      </c>
      <c r="G197" s="7" t="s">
        <v>21</v>
      </c>
      <c r="H197" s="7" t="s">
        <v>12</v>
      </c>
      <c r="I197" s="7" t="s">
        <v>613</v>
      </c>
    </row>
    <row r="198" spans="1:9" x14ac:dyDescent="0.3">
      <c r="A198" s="6">
        <v>9296</v>
      </c>
      <c r="B198" s="7" t="s">
        <v>444</v>
      </c>
      <c r="C198" s="7" t="s">
        <v>445</v>
      </c>
      <c r="D198" s="7" t="s">
        <v>19</v>
      </c>
      <c r="E198" s="7" t="s">
        <v>20</v>
      </c>
      <c r="F198" s="9">
        <f>VLOOKUP(E198,'Program Fees'!A2:B24,2,FALSE)</f>
        <v>86</v>
      </c>
      <c r="G198" s="7" t="s">
        <v>21</v>
      </c>
      <c r="H198" s="7" t="s">
        <v>12</v>
      </c>
      <c r="I198" s="7" t="s">
        <v>616</v>
      </c>
    </row>
    <row r="199" spans="1:9" x14ac:dyDescent="0.3">
      <c r="A199" s="6">
        <v>9297</v>
      </c>
      <c r="B199" s="7" t="s">
        <v>446</v>
      </c>
      <c r="C199" s="7" t="s">
        <v>447</v>
      </c>
      <c r="D199" s="7" t="s">
        <v>85</v>
      </c>
      <c r="E199" s="7" t="s">
        <v>86</v>
      </c>
      <c r="F199" s="9">
        <f>VLOOKUP(E199,'Program Fees'!A2:B24,2,FALSE)</f>
        <v>24</v>
      </c>
      <c r="G199" s="7" t="s">
        <v>11</v>
      </c>
      <c r="H199" s="7" t="s">
        <v>22</v>
      </c>
      <c r="I199" s="7" t="s">
        <v>154</v>
      </c>
    </row>
    <row r="200" spans="1:9" x14ac:dyDescent="0.3">
      <c r="A200" s="6">
        <v>9298</v>
      </c>
      <c r="B200" s="7" t="s">
        <v>448</v>
      </c>
      <c r="C200" s="7" t="s">
        <v>449</v>
      </c>
      <c r="D200" s="7" t="s">
        <v>450</v>
      </c>
      <c r="E200" s="7" t="s">
        <v>621</v>
      </c>
      <c r="F200" s="9">
        <f>VLOOKUP(E200,'Program Fees'!A2:B24,2,FALSE)</f>
        <v>21</v>
      </c>
      <c r="G200" s="7" t="s">
        <v>32</v>
      </c>
      <c r="H200" s="7" t="s">
        <v>22</v>
      </c>
      <c r="I200" s="7" t="s">
        <v>611</v>
      </c>
    </row>
    <row r="201" spans="1:9" x14ac:dyDescent="0.3">
      <c r="A201" s="6">
        <v>9299</v>
      </c>
      <c r="B201" s="7" t="s">
        <v>451</v>
      </c>
      <c r="C201" s="7" t="s">
        <v>452</v>
      </c>
      <c r="D201" s="7" t="s">
        <v>453</v>
      </c>
      <c r="E201" s="7" t="s">
        <v>82</v>
      </c>
      <c r="F201" s="9">
        <f>VLOOKUP(E201,'Program Fees'!A2:B24,2,FALSE)</f>
        <v>85</v>
      </c>
      <c r="G201" s="7" t="s">
        <v>49</v>
      </c>
      <c r="H201" s="7" t="s">
        <v>12</v>
      </c>
      <c r="I201" s="7" t="s">
        <v>612</v>
      </c>
    </row>
    <row r="202" spans="1:9" x14ac:dyDescent="0.3">
      <c r="A202" s="6">
        <v>9300</v>
      </c>
      <c r="B202" s="7" t="s">
        <v>454</v>
      </c>
      <c r="C202" s="7" t="s">
        <v>455</v>
      </c>
      <c r="D202" s="7" t="s">
        <v>166</v>
      </c>
      <c r="E202" s="7" t="s">
        <v>167</v>
      </c>
      <c r="F202" s="9">
        <f>VLOOKUP(E202,'Program Fees'!A2:B24,2,FALSE)</f>
        <v>20</v>
      </c>
      <c r="G202" s="7" t="s">
        <v>11</v>
      </c>
      <c r="H202" s="7" t="s">
        <v>12</v>
      </c>
      <c r="I202" s="7" t="s">
        <v>614</v>
      </c>
    </row>
    <row r="203" spans="1:9" x14ac:dyDescent="0.3">
      <c r="A203" s="6">
        <v>9301</v>
      </c>
      <c r="B203" s="7" t="s">
        <v>403</v>
      </c>
      <c r="C203" s="7" t="s">
        <v>456</v>
      </c>
      <c r="D203" s="7" t="s">
        <v>19</v>
      </c>
      <c r="E203" s="7" t="s">
        <v>20</v>
      </c>
      <c r="F203" s="9">
        <f>VLOOKUP(E203,'Program Fees'!A2:B24,2,FALSE)</f>
        <v>86</v>
      </c>
      <c r="G203" s="7" t="s">
        <v>21</v>
      </c>
      <c r="H203" s="7" t="s">
        <v>12</v>
      </c>
      <c r="I203" s="7" t="s">
        <v>616</v>
      </c>
    </row>
    <row r="204" spans="1:9" x14ac:dyDescent="0.3">
      <c r="A204" s="6">
        <v>9302</v>
      </c>
      <c r="B204" s="7" t="s">
        <v>457</v>
      </c>
      <c r="C204" s="7" t="s">
        <v>458</v>
      </c>
      <c r="D204" s="7" t="s">
        <v>30</v>
      </c>
      <c r="E204" s="7" t="s">
        <v>31</v>
      </c>
      <c r="F204" s="9">
        <f>VLOOKUP(E204,'Program Fees'!A2:B24,2,FALSE)</f>
        <v>74</v>
      </c>
      <c r="G204" s="7" t="s">
        <v>49</v>
      </c>
      <c r="H204" s="7" t="s">
        <v>12</v>
      </c>
      <c r="I204" s="7" t="s">
        <v>611</v>
      </c>
    </row>
    <row r="205" spans="1:9" x14ac:dyDescent="0.3">
      <c r="A205" s="6">
        <v>9303</v>
      </c>
      <c r="B205" s="7" t="s">
        <v>459</v>
      </c>
      <c r="C205" s="7" t="s">
        <v>460</v>
      </c>
      <c r="D205" s="7" t="s">
        <v>30</v>
      </c>
      <c r="E205" s="7" t="s">
        <v>31</v>
      </c>
      <c r="F205" s="9">
        <f>VLOOKUP(E205,'Program Fees'!A2:B24,2,FALSE)</f>
        <v>74</v>
      </c>
      <c r="G205" s="7" t="s">
        <v>32</v>
      </c>
      <c r="H205" s="7" t="s">
        <v>12</v>
      </c>
      <c r="I205" s="7" t="s">
        <v>618</v>
      </c>
    </row>
    <row r="206" spans="1:9" x14ac:dyDescent="0.3">
      <c r="A206" s="6">
        <v>9304</v>
      </c>
      <c r="B206" s="7" t="s">
        <v>461</v>
      </c>
      <c r="C206" s="7" t="s">
        <v>462</v>
      </c>
      <c r="D206" s="7" t="s">
        <v>463</v>
      </c>
      <c r="E206" s="7" t="s">
        <v>82</v>
      </c>
      <c r="F206" s="9">
        <f>VLOOKUP(E206,'Program Fees'!A2:B24,2,FALSE)</f>
        <v>85</v>
      </c>
      <c r="G206" s="7" t="s">
        <v>49</v>
      </c>
      <c r="H206" s="7" t="s">
        <v>12</v>
      </c>
      <c r="I206" s="7" t="s">
        <v>611</v>
      </c>
    </row>
    <row r="207" spans="1:9" x14ac:dyDescent="0.3">
      <c r="A207" s="6">
        <v>9305</v>
      </c>
      <c r="B207" s="7" t="s">
        <v>464</v>
      </c>
      <c r="C207" s="7" t="s">
        <v>465</v>
      </c>
      <c r="D207" s="7" t="s">
        <v>210</v>
      </c>
      <c r="E207" s="7" t="s">
        <v>211</v>
      </c>
      <c r="F207" s="9">
        <f>VLOOKUP(E207,'Program Fees'!A2:B24,2,FALSE)</f>
        <v>26</v>
      </c>
      <c r="G207" s="7" t="s">
        <v>21</v>
      </c>
      <c r="H207" s="7" t="s">
        <v>22</v>
      </c>
      <c r="I207" s="7" t="s">
        <v>616</v>
      </c>
    </row>
    <row r="208" spans="1:9" x14ac:dyDescent="0.3">
      <c r="A208" s="6">
        <v>9306</v>
      </c>
      <c r="B208" s="7" t="s">
        <v>466</v>
      </c>
      <c r="C208" s="7" t="s">
        <v>467</v>
      </c>
      <c r="D208" s="7" t="s">
        <v>60</v>
      </c>
      <c r="E208" s="7" t="s">
        <v>623</v>
      </c>
      <c r="F208" s="9">
        <f>VLOOKUP(E208,'Program Fees'!A2:B24,2,FALSE)</f>
        <v>58</v>
      </c>
      <c r="G208" s="7" t="s">
        <v>21</v>
      </c>
      <c r="H208" s="7" t="s">
        <v>12</v>
      </c>
      <c r="I208" s="7" t="s">
        <v>614</v>
      </c>
    </row>
    <row r="209" spans="1:9" x14ac:dyDescent="0.3">
      <c r="A209" s="6">
        <v>9307</v>
      </c>
      <c r="B209" s="7" t="s">
        <v>468</v>
      </c>
      <c r="C209" s="7" t="s">
        <v>469</v>
      </c>
      <c r="D209" s="7" t="s">
        <v>19</v>
      </c>
      <c r="E209" s="7" t="s">
        <v>20</v>
      </c>
      <c r="F209" s="9">
        <f>VLOOKUP(E209,'Program Fees'!A2:B24,2,FALSE)</f>
        <v>86</v>
      </c>
      <c r="G209" s="7" t="s">
        <v>21</v>
      </c>
      <c r="H209" s="7" t="s">
        <v>12</v>
      </c>
      <c r="I209" s="7" t="s">
        <v>611</v>
      </c>
    </row>
    <row r="210" spans="1:9" x14ac:dyDescent="0.3">
      <c r="A210" s="6">
        <v>9308</v>
      </c>
      <c r="B210" s="7" t="s">
        <v>470</v>
      </c>
      <c r="C210" s="7" t="s">
        <v>471</v>
      </c>
      <c r="D210" s="7" t="s">
        <v>463</v>
      </c>
      <c r="E210" s="7" t="s">
        <v>82</v>
      </c>
      <c r="F210" s="9">
        <f>VLOOKUP(E210,'Program Fees'!A2:B24,2,FALSE)</f>
        <v>85</v>
      </c>
      <c r="G210" s="7" t="s">
        <v>49</v>
      </c>
      <c r="H210" s="7" t="s">
        <v>12</v>
      </c>
      <c r="I210" s="7" t="s">
        <v>612</v>
      </c>
    </row>
    <row r="211" spans="1:9" x14ac:dyDescent="0.3">
      <c r="A211" s="6">
        <v>9309</v>
      </c>
      <c r="B211" s="7" t="s">
        <v>472</v>
      </c>
      <c r="C211" s="7" t="s">
        <v>472</v>
      </c>
      <c r="D211" s="7" t="s">
        <v>19</v>
      </c>
      <c r="E211" s="7" t="s">
        <v>20</v>
      </c>
      <c r="F211" s="9">
        <f>VLOOKUP(E211,'Program Fees'!A2:B24,2,FALSE)</f>
        <v>86</v>
      </c>
      <c r="G211" s="7" t="s">
        <v>191</v>
      </c>
      <c r="H211" s="7" t="s">
        <v>12</v>
      </c>
      <c r="I211" s="7" t="s">
        <v>614</v>
      </c>
    </row>
    <row r="212" spans="1:9" x14ac:dyDescent="0.3">
      <c r="A212" s="6">
        <v>9310</v>
      </c>
      <c r="B212" s="7" t="s">
        <v>473</v>
      </c>
      <c r="C212" s="7" t="s">
        <v>474</v>
      </c>
      <c r="D212" s="7" t="s">
        <v>60</v>
      </c>
      <c r="E212" s="7" t="s">
        <v>623</v>
      </c>
      <c r="F212" s="9">
        <f>VLOOKUP(E212,'Program Fees'!A2:B24,2,FALSE)</f>
        <v>58</v>
      </c>
      <c r="G212" s="7" t="s">
        <v>49</v>
      </c>
      <c r="H212" s="7" t="s">
        <v>12</v>
      </c>
      <c r="I212" s="7" t="s">
        <v>613</v>
      </c>
    </row>
    <row r="213" spans="1:9" x14ac:dyDescent="0.3">
      <c r="A213" s="6">
        <v>9311</v>
      </c>
      <c r="B213" s="7" t="s">
        <v>475</v>
      </c>
      <c r="C213" s="7" t="s">
        <v>476</v>
      </c>
      <c r="D213" s="7" t="s">
        <v>60</v>
      </c>
      <c r="E213" s="7" t="s">
        <v>623</v>
      </c>
      <c r="F213" s="9">
        <f>VLOOKUP(E213,'Program Fees'!A2:B24,2,FALSE)</f>
        <v>58</v>
      </c>
      <c r="G213" s="7" t="s">
        <v>49</v>
      </c>
      <c r="H213" s="7" t="s">
        <v>12</v>
      </c>
      <c r="I213" s="7" t="s">
        <v>154</v>
      </c>
    </row>
    <row r="214" spans="1:9" x14ac:dyDescent="0.3">
      <c r="A214" s="6">
        <v>9312</v>
      </c>
      <c r="B214" s="7" t="s">
        <v>477</v>
      </c>
      <c r="C214" s="7" t="s">
        <v>478</v>
      </c>
      <c r="D214" s="7" t="s">
        <v>19</v>
      </c>
      <c r="E214" s="7" t="s">
        <v>20</v>
      </c>
      <c r="F214" s="9">
        <f>VLOOKUP(E214,'Program Fees'!A2:B24,2,FALSE)</f>
        <v>86</v>
      </c>
      <c r="G214" s="7" t="s">
        <v>21</v>
      </c>
      <c r="H214" s="7" t="s">
        <v>12</v>
      </c>
      <c r="I214" s="7" t="s">
        <v>611</v>
      </c>
    </row>
    <row r="215" spans="1:9" x14ac:dyDescent="0.3">
      <c r="A215" s="6">
        <v>9313</v>
      </c>
      <c r="B215" s="7" t="s">
        <v>479</v>
      </c>
      <c r="C215" s="7" t="s">
        <v>480</v>
      </c>
      <c r="D215" s="7" t="s">
        <v>30</v>
      </c>
      <c r="E215" s="7" t="s">
        <v>31</v>
      </c>
      <c r="F215" s="9">
        <f>VLOOKUP(E215,'Program Fees'!A2:B24,2,FALSE)</f>
        <v>74</v>
      </c>
      <c r="G215" s="7" t="s">
        <v>11</v>
      </c>
      <c r="H215" s="7" t="s">
        <v>12</v>
      </c>
      <c r="I215" s="7" t="s">
        <v>613</v>
      </c>
    </row>
    <row r="216" spans="1:9" x14ac:dyDescent="0.3">
      <c r="A216" s="6">
        <v>9314</v>
      </c>
      <c r="B216" s="7" t="s">
        <v>481</v>
      </c>
      <c r="C216" s="7" t="s">
        <v>482</v>
      </c>
      <c r="D216" s="7" t="s">
        <v>46</v>
      </c>
      <c r="E216" s="7" t="s">
        <v>625</v>
      </c>
      <c r="F216" s="9">
        <f>VLOOKUP(E216,'Program Fees'!A2:B24,2,FALSE)</f>
        <v>64</v>
      </c>
      <c r="G216" s="7" t="s">
        <v>21</v>
      </c>
      <c r="H216" s="7" t="s">
        <v>12</v>
      </c>
      <c r="I216" s="7" t="s">
        <v>617</v>
      </c>
    </row>
    <row r="217" spans="1:9" x14ac:dyDescent="0.3">
      <c r="A217" s="6">
        <v>9315</v>
      </c>
      <c r="B217" s="7" t="s">
        <v>483</v>
      </c>
      <c r="C217" s="7" t="s">
        <v>484</v>
      </c>
      <c r="D217" s="7" t="s">
        <v>30</v>
      </c>
      <c r="E217" s="7" t="s">
        <v>31</v>
      </c>
      <c r="F217" s="9">
        <f>VLOOKUP(E217,'Program Fees'!A2:B24,2,FALSE)</f>
        <v>74</v>
      </c>
      <c r="G217" s="7" t="s">
        <v>21</v>
      </c>
      <c r="H217" s="7" t="s">
        <v>12</v>
      </c>
      <c r="I217" s="7" t="s">
        <v>616</v>
      </c>
    </row>
    <row r="218" spans="1:9" x14ac:dyDescent="0.3">
      <c r="A218" s="6">
        <v>9316</v>
      </c>
      <c r="B218" s="7" t="s">
        <v>485</v>
      </c>
      <c r="C218" s="7" t="s">
        <v>286</v>
      </c>
      <c r="D218" s="7" t="s">
        <v>25</v>
      </c>
      <c r="E218" s="7" t="s">
        <v>26</v>
      </c>
      <c r="F218" s="9">
        <f>VLOOKUP(E218,'Program Fees'!A2:B24,2,FALSE)</f>
        <v>46</v>
      </c>
      <c r="G218" s="7" t="s">
        <v>319</v>
      </c>
      <c r="H218" s="7" t="s">
        <v>12</v>
      </c>
      <c r="I218" s="7" t="s">
        <v>611</v>
      </c>
    </row>
    <row r="219" spans="1:9" x14ac:dyDescent="0.3">
      <c r="A219" s="6">
        <v>9317</v>
      </c>
      <c r="B219" s="7" t="s">
        <v>195</v>
      </c>
      <c r="C219" s="7" t="s">
        <v>380</v>
      </c>
      <c r="D219" s="7" t="s">
        <v>166</v>
      </c>
      <c r="E219" s="7" t="s">
        <v>167</v>
      </c>
      <c r="F219" s="9">
        <f>VLOOKUP(E219,'Program Fees'!A2:B24,2,FALSE)</f>
        <v>20</v>
      </c>
      <c r="G219" s="7" t="s">
        <v>32</v>
      </c>
      <c r="H219" s="7" t="s">
        <v>12</v>
      </c>
      <c r="I219" s="7" t="s">
        <v>614</v>
      </c>
    </row>
    <row r="220" spans="1:9" x14ac:dyDescent="0.3">
      <c r="A220" s="6">
        <v>9318</v>
      </c>
      <c r="B220" s="7" t="s">
        <v>485</v>
      </c>
      <c r="C220" s="7" t="s">
        <v>486</v>
      </c>
      <c r="D220" s="7" t="s">
        <v>322</v>
      </c>
      <c r="E220" s="7" t="s">
        <v>16</v>
      </c>
      <c r="F220" s="9">
        <f>VLOOKUP(E220,'Program Fees'!A2:B24,2,FALSE)</f>
        <v>36</v>
      </c>
      <c r="G220" s="7" t="s">
        <v>49</v>
      </c>
      <c r="H220" s="7" t="s">
        <v>12</v>
      </c>
      <c r="I220" s="7" t="s">
        <v>612</v>
      </c>
    </row>
    <row r="221" spans="1:9" x14ac:dyDescent="0.3">
      <c r="A221" s="6">
        <v>9319</v>
      </c>
      <c r="B221" s="7" t="s">
        <v>487</v>
      </c>
      <c r="C221" s="7" t="s">
        <v>126</v>
      </c>
      <c r="D221" s="7" t="s">
        <v>289</v>
      </c>
      <c r="E221" s="7" t="s">
        <v>16</v>
      </c>
      <c r="F221" s="9">
        <f>VLOOKUP(E221,'Program Fees'!A2:B24,2,FALSE)</f>
        <v>36</v>
      </c>
      <c r="G221" s="7" t="s">
        <v>21</v>
      </c>
      <c r="H221" s="7" t="s">
        <v>12</v>
      </c>
      <c r="I221" s="7" t="s">
        <v>614</v>
      </c>
    </row>
    <row r="222" spans="1:9" x14ac:dyDescent="0.3">
      <c r="A222" s="6">
        <v>9320</v>
      </c>
      <c r="B222" s="7" t="s">
        <v>488</v>
      </c>
      <c r="C222" s="7" t="s">
        <v>278</v>
      </c>
      <c r="D222" s="7" t="s">
        <v>430</v>
      </c>
      <c r="E222" s="7" t="s">
        <v>82</v>
      </c>
      <c r="F222" s="9">
        <f>VLOOKUP(E222,'Program Fees'!A2:B24,2,FALSE)</f>
        <v>85</v>
      </c>
      <c r="G222" s="7" t="s">
        <v>32</v>
      </c>
      <c r="H222" s="7" t="s">
        <v>22</v>
      </c>
      <c r="I222" s="7" t="s">
        <v>616</v>
      </c>
    </row>
    <row r="223" spans="1:9" x14ac:dyDescent="0.3">
      <c r="A223" s="6">
        <v>9321</v>
      </c>
      <c r="B223" s="7" t="s">
        <v>103</v>
      </c>
      <c r="C223" s="7" t="s">
        <v>489</v>
      </c>
      <c r="D223" s="7" t="s">
        <v>25</v>
      </c>
      <c r="E223" s="7" t="s">
        <v>26</v>
      </c>
      <c r="F223" s="9">
        <f>VLOOKUP(E223,'Program Fees'!A2:B24,2,FALSE)</f>
        <v>46</v>
      </c>
      <c r="G223" s="7" t="s">
        <v>49</v>
      </c>
      <c r="H223" s="7" t="s">
        <v>12</v>
      </c>
      <c r="I223" s="7" t="s">
        <v>617</v>
      </c>
    </row>
    <row r="224" spans="1:9" x14ac:dyDescent="0.3">
      <c r="A224" s="6">
        <v>9322</v>
      </c>
      <c r="B224" s="7" t="s">
        <v>490</v>
      </c>
      <c r="C224" s="7" t="s">
        <v>491</v>
      </c>
      <c r="D224" s="7" t="s">
        <v>9</v>
      </c>
      <c r="E224" s="7" t="s">
        <v>10</v>
      </c>
      <c r="F224" s="9">
        <f>VLOOKUP(E224,'Program Fees'!A2:B24,2,FALSE)</f>
        <v>27</v>
      </c>
      <c r="G224" s="7" t="s">
        <v>11</v>
      </c>
      <c r="H224" s="7" t="s">
        <v>22</v>
      </c>
      <c r="I224" s="7" t="s">
        <v>612</v>
      </c>
    </row>
    <row r="225" spans="1:9" x14ac:dyDescent="0.3">
      <c r="A225" s="6">
        <v>9323</v>
      </c>
      <c r="B225" s="7" t="s">
        <v>492</v>
      </c>
      <c r="C225" s="7" t="s">
        <v>493</v>
      </c>
      <c r="D225" s="7" t="s">
        <v>105</v>
      </c>
      <c r="E225" s="7" t="s">
        <v>106</v>
      </c>
      <c r="F225" s="9">
        <f>VLOOKUP(E225,'Program Fees'!A2:B24,2,FALSE)</f>
        <v>41</v>
      </c>
      <c r="G225" s="7" t="s">
        <v>11</v>
      </c>
      <c r="H225" s="7" t="s">
        <v>12</v>
      </c>
      <c r="I225" s="7" t="s">
        <v>618</v>
      </c>
    </row>
    <row r="226" spans="1:9" x14ac:dyDescent="0.3">
      <c r="A226" s="6">
        <v>9324</v>
      </c>
      <c r="B226" s="7" t="s">
        <v>494</v>
      </c>
      <c r="C226" s="7" t="s">
        <v>495</v>
      </c>
      <c r="D226" s="7" t="s">
        <v>46</v>
      </c>
      <c r="E226" s="7" t="s">
        <v>625</v>
      </c>
      <c r="F226" s="9">
        <f>VLOOKUP(E226,'Program Fees'!A2:B24,2,FALSE)</f>
        <v>64</v>
      </c>
      <c r="G226" s="7" t="s">
        <v>191</v>
      </c>
      <c r="H226" s="7" t="s">
        <v>22</v>
      </c>
      <c r="I226" s="7" t="s">
        <v>613</v>
      </c>
    </row>
    <row r="227" spans="1:9" x14ac:dyDescent="0.3">
      <c r="A227" s="6">
        <v>9325</v>
      </c>
      <c r="B227" s="7" t="s">
        <v>496</v>
      </c>
      <c r="C227" s="7" t="s">
        <v>497</v>
      </c>
      <c r="D227" s="7" t="s">
        <v>19</v>
      </c>
      <c r="E227" s="7" t="s">
        <v>20</v>
      </c>
      <c r="F227" s="9">
        <f>VLOOKUP(E227,'Program Fees'!A2:B24,2,FALSE)</f>
        <v>86</v>
      </c>
      <c r="G227" s="7" t="s">
        <v>11</v>
      </c>
      <c r="H227" s="7" t="s">
        <v>12</v>
      </c>
      <c r="I227" s="7" t="s">
        <v>618</v>
      </c>
    </row>
    <row r="228" spans="1:9" x14ac:dyDescent="0.3">
      <c r="A228" s="6">
        <v>9326</v>
      </c>
      <c r="B228" s="7" t="s">
        <v>498</v>
      </c>
      <c r="C228" s="7" t="s">
        <v>499</v>
      </c>
      <c r="D228" s="7" t="s">
        <v>30</v>
      </c>
      <c r="E228" s="7" t="s">
        <v>31</v>
      </c>
      <c r="F228" s="9">
        <f>VLOOKUP(E228,'Program Fees'!A2:B24,2,FALSE)</f>
        <v>74</v>
      </c>
      <c r="G228" s="7" t="s">
        <v>49</v>
      </c>
      <c r="H228" s="7" t="s">
        <v>12</v>
      </c>
      <c r="I228" s="7" t="s">
        <v>614</v>
      </c>
    </row>
    <row r="229" spans="1:9" x14ac:dyDescent="0.3">
      <c r="A229" s="6">
        <v>9327</v>
      </c>
      <c r="B229" s="7" t="s">
        <v>375</v>
      </c>
      <c r="C229" s="7" t="s">
        <v>374</v>
      </c>
      <c r="D229" s="7" t="s">
        <v>170</v>
      </c>
      <c r="E229" s="7" t="s">
        <v>171</v>
      </c>
      <c r="F229" s="9">
        <f>VLOOKUP(E229,'Program Fees'!A2:B24,2,FALSE)</f>
        <v>68</v>
      </c>
      <c r="G229" s="7" t="s">
        <v>41</v>
      </c>
      <c r="H229" s="7" t="s">
        <v>12</v>
      </c>
      <c r="I229" s="7" t="s">
        <v>612</v>
      </c>
    </row>
    <row r="230" spans="1:9" x14ac:dyDescent="0.3">
      <c r="A230" s="6">
        <v>9328</v>
      </c>
      <c r="B230" s="7" t="s">
        <v>419</v>
      </c>
      <c r="C230" s="7" t="s">
        <v>500</v>
      </c>
      <c r="D230" s="7" t="s">
        <v>210</v>
      </c>
      <c r="E230" s="7" t="s">
        <v>211</v>
      </c>
      <c r="F230" s="9">
        <f>VLOOKUP(E230,'Program Fees'!A2:B24,2,FALSE)</f>
        <v>26</v>
      </c>
      <c r="G230" s="7" t="s">
        <v>49</v>
      </c>
      <c r="H230" s="7" t="s">
        <v>12</v>
      </c>
      <c r="I230" s="7" t="s">
        <v>618</v>
      </c>
    </row>
    <row r="231" spans="1:9" x14ac:dyDescent="0.3">
      <c r="A231" s="6">
        <v>9329</v>
      </c>
      <c r="B231" s="7" t="s">
        <v>501</v>
      </c>
      <c r="C231" s="7" t="s">
        <v>502</v>
      </c>
      <c r="D231" s="7" t="s">
        <v>19</v>
      </c>
      <c r="E231" s="7" t="s">
        <v>20</v>
      </c>
      <c r="F231" s="9">
        <f>VLOOKUP(E231,'Program Fees'!A2:B24,2,FALSE)</f>
        <v>86</v>
      </c>
      <c r="G231" s="7" t="s">
        <v>27</v>
      </c>
      <c r="H231" s="7" t="s">
        <v>12</v>
      </c>
      <c r="I231" s="7" t="s">
        <v>618</v>
      </c>
    </row>
    <row r="232" spans="1:9" x14ac:dyDescent="0.3">
      <c r="A232" s="6">
        <v>9330</v>
      </c>
      <c r="B232" s="7" t="s">
        <v>503</v>
      </c>
      <c r="C232" s="7" t="s">
        <v>351</v>
      </c>
      <c r="D232" s="7" t="s">
        <v>30</v>
      </c>
      <c r="E232" s="7" t="s">
        <v>31</v>
      </c>
      <c r="F232" s="9">
        <f>VLOOKUP(E232,'Program Fees'!A2:B24,2,FALSE)</f>
        <v>74</v>
      </c>
      <c r="G232" s="7" t="s">
        <v>11</v>
      </c>
      <c r="H232" s="7" t="s">
        <v>12</v>
      </c>
      <c r="I232" s="7" t="s">
        <v>618</v>
      </c>
    </row>
    <row r="233" spans="1:9" x14ac:dyDescent="0.3">
      <c r="A233" s="6">
        <v>9331</v>
      </c>
      <c r="B233" s="7" t="s">
        <v>504</v>
      </c>
      <c r="C233" s="7" t="s">
        <v>169</v>
      </c>
      <c r="D233" s="7" t="s">
        <v>19</v>
      </c>
      <c r="E233" s="7" t="s">
        <v>20</v>
      </c>
      <c r="F233" s="9">
        <f>VLOOKUP(E233,'Program Fees'!A2:B24,2,FALSE)</f>
        <v>86</v>
      </c>
      <c r="G233" s="7" t="s">
        <v>49</v>
      </c>
      <c r="H233" s="7" t="s">
        <v>12</v>
      </c>
      <c r="I233" s="7" t="s">
        <v>618</v>
      </c>
    </row>
    <row r="234" spans="1:9" x14ac:dyDescent="0.3">
      <c r="A234" s="6">
        <v>9332</v>
      </c>
      <c r="B234" s="7" t="s">
        <v>505</v>
      </c>
      <c r="C234" s="7" t="s">
        <v>506</v>
      </c>
      <c r="D234" s="7" t="s">
        <v>74</v>
      </c>
      <c r="E234" s="7" t="s">
        <v>622</v>
      </c>
      <c r="F234" s="9">
        <f>VLOOKUP(E234,'Program Fees'!A2:B24,2,FALSE)</f>
        <v>60</v>
      </c>
      <c r="G234" s="7" t="s">
        <v>11</v>
      </c>
      <c r="H234" s="7" t="s">
        <v>12</v>
      </c>
      <c r="I234" s="7" t="s">
        <v>613</v>
      </c>
    </row>
    <row r="235" spans="1:9" x14ac:dyDescent="0.3">
      <c r="A235" s="6">
        <v>9333</v>
      </c>
      <c r="B235" s="7" t="s">
        <v>507</v>
      </c>
      <c r="C235" s="7" t="s">
        <v>508</v>
      </c>
      <c r="D235" s="7" t="s">
        <v>160</v>
      </c>
      <c r="E235" s="7" t="s">
        <v>621</v>
      </c>
      <c r="F235" s="9">
        <f>VLOOKUP(E235,'Program Fees'!A2:B24,2,FALSE)</f>
        <v>21</v>
      </c>
      <c r="G235" s="7" t="s">
        <v>21</v>
      </c>
      <c r="H235" s="7" t="s">
        <v>12</v>
      </c>
      <c r="I235" s="7" t="s">
        <v>616</v>
      </c>
    </row>
    <row r="236" spans="1:9" x14ac:dyDescent="0.3">
      <c r="A236" s="6">
        <v>9334</v>
      </c>
      <c r="B236" s="7" t="s">
        <v>509</v>
      </c>
      <c r="C236" s="7" t="s">
        <v>510</v>
      </c>
      <c r="D236" s="7" t="s">
        <v>19</v>
      </c>
      <c r="E236" s="7" t="s">
        <v>20</v>
      </c>
      <c r="F236" s="9">
        <f>VLOOKUP(E236,'Program Fees'!A2:B24,2,FALSE)</f>
        <v>86</v>
      </c>
      <c r="G236" s="7" t="s">
        <v>11</v>
      </c>
      <c r="H236" s="7" t="s">
        <v>12</v>
      </c>
      <c r="I236" s="7" t="s">
        <v>154</v>
      </c>
    </row>
    <row r="237" spans="1:9" x14ac:dyDescent="0.3">
      <c r="A237" s="6">
        <v>9335</v>
      </c>
      <c r="B237" s="7" t="s">
        <v>27</v>
      </c>
      <c r="C237" s="7" t="s">
        <v>511</v>
      </c>
      <c r="D237" s="7" t="s">
        <v>74</v>
      </c>
      <c r="E237" s="7" t="s">
        <v>622</v>
      </c>
      <c r="F237" s="9">
        <f>VLOOKUP(E237,'Program Fees'!A2:B24,2,FALSE)</f>
        <v>60</v>
      </c>
      <c r="G237" s="7" t="s">
        <v>49</v>
      </c>
      <c r="H237" s="7" t="s">
        <v>12</v>
      </c>
      <c r="I237" s="7" t="s">
        <v>618</v>
      </c>
    </row>
    <row r="238" spans="1:9" x14ac:dyDescent="0.3">
      <c r="A238" s="6">
        <v>9336</v>
      </c>
      <c r="B238" s="7" t="s">
        <v>512</v>
      </c>
      <c r="C238" s="7" t="s">
        <v>513</v>
      </c>
      <c r="D238" s="7" t="s">
        <v>9</v>
      </c>
      <c r="E238" s="7" t="s">
        <v>10</v>
      </c>
      <c r="F238" s="9">
        <f>VLOOKUP(E238,'Program Fees'!A2:B24,2,FALSE)</f>
        <v>27</v>
      </c>
      <c r="G238" s="7" t="s">
        <v>11</v>
      </c>
      <c r="H238" s="7" t="s">
        <v>12</v>
      </c>
      <c r="I238" s="7" t="s">
        <v>615</v>
      </c>
    </row>
    <row r="239" spans="1:9" x14ac:dyDescent="0.3">
      <c r="A239" s="6">
        <v>9337</v>
      </c>
      <c r="B239" s="7" t="s">
        <v>514</v>
      </c>
      <c r="C239" s="7" t="s">
        <v>515</v>
      </c>
      <c r="D239" s="7" t="s">
        <v>30</v>
      </c>
      <c r="E239" s="7" t="s">
        <v>31</v>
      </c>
      <c r="F239" s="9">
        <f>VLOOKUP(E239,'Program Fees'!A2:B24,2,FALSE)</f>
        <v>74</v>
      </c>
      <c r="G239" s="7" t="s">
        <v>11</v>
      </c>
      <c r="H239" s="7" t="s">
        <v>12</v>
      </c>
      <c r="I239" s="7" t="s">
        <v>614</v>
      </c>
    </row>
    <row r="240" spans="1:9" x14ac:dyDescent="0.3">
      <c r="A240" s="6">
        <v>9338</v>
      </c>
      <c r="B240" s="7" t="s">
        <v>516</v>
      </c>
      <c r="C240" s="7" t="s">
        <v>517</v>
      </c>
      <c r="D240" s="7" t="s">
        <v>30</v>
      </c>
      <c r="E240" s="7" t="s">
        <v>31</v>
      </c>
      <c r="F240" s="9">
        <f>VLOOKUP(E240,'Program Fees'!A2:B24,2,FALSE)</f>
        <v>74</v>
      </c>
      <c r="G240" s="7" t="s">
        <v>49</v>
      </c>
      <c r="H240" s="7" t="s">
        <v>12</v>
      </c>
      <c r="I240" s="7" t="s">
        <v>615</v>
      </c>
    </row>
    <row r="241" spans="1:9" x14ac:dyDescent="0.3">
      <c r="A241" s="6">
        <v>9339</v>
      </c>
      <c r="B241" s="7" t="s">
        <v>397</v>
      </c>
      <c r="C241" s="7" t="s">
        <v>372</v>
      </c>
      <c r="D241" s="7" t="s">
        <v>35</v>
      </c>
      <c r="E241" s="7" t="s">
        <v>36</v>
      </c>
      <c r="F241" s="9">
        <f>VLOOKUP(E241,'Program Fees'!A2:B24,2,FALSE)</f>
        <v>81</v>
      </c>
      <c r="G241" s="7" t="s">
        <v>21</v>
      </c>
      <c r="H241" s="7" t="s">
        <v>12</v>
      </c>
      <c r="I241" s="7" t="s">
        <v>611</v>
      </c>
    </row>
    <row r="242" spans="1:9" x14ac:dyDescent="0.3">
      <c r="A242" s="6">
        <v>9340</v>
      </c>
      <c r="B242" s="7" t="s">
        <v>518</v>
      </c>
      <c r="C242" s="7" t="s">
        <v>519</v>
      </c>
      <c r="D242" s="7" t="s">
        <v>60</v>
      </c>
      <c r="E242" s="7" t="s">
        <v>623</v>
      </c>
      <c r="F242" s="9">
        <f>VLOOKUP(E242,'Program Fees'!A2:B24,2,FALSE)</f>
        <v>58</v>
      </c>
      <c r="G242" s="7" t="s">
        <v>49</v>
      </c>
      <c r="H242" s="7" t="s">
        <v>12</v>
      </c>
      <c r="I242" s="7" t="s">
        <v>614</v>
      </c>
    </row>
    <row r="243" spans="1:9" x14ac:dyDescent="0.3">
      <c r="A243" s="6">
        <v>9341</v>
      </c>
      <c r="B243" s="7" t="s">
        <v>520</v>
      </c>
      <c r="C243" s="7" t="s">
        <v>521</v>
      </c>
      <c r="D243" s="7" t="s">
        <v>201</v>
      </c>
      <c r="E243" s="7" t="s">
        <v>624</v>
      </c>
      <c r="F243" s="9">
        <f>VLOOKUP(E243,'Program Fees'!A2:B24,2,FALSE)</f>
        <v>35</v>
      </c>
      <c r="G243" s="7" t="s">
        <v>27</v>
      </c>
      <c r="H243" s="7" t="s">
        <v>12</v>
      </c>
      <c r="I243" s="7" t="s">
        <v>611</v>
      </c>
    </row>
    <row r="244" spans="1:9" x14ac:dyDescent="0.3">
      <c r="A244" s="6">
        <v>9342</v>
      </c>
      <c r="B244" s="7" t="s">
        <v>522</v>
      </c>
      <c r="C244" s="7" t="s">
        <v>523</v>
      </c>
      <c r="D244" s="7" t="s">
        <v>19</v>
      </c>
      <c r="E244" s="7" t="s">
        <v>20</v>
      </c>
      <c r="F244" s="9">
        <f>VLOOKUP(E244,'Program Fees'!A2:B24,2,FALSE)</f>
        <v>86</v>
      </c>
      <c r="G244" s="7" t="s">
        <v>21</v>
      </c>
      <c r="H244" s="7" t="s">
        <v>12</v>
      </c>
      <c r="I244" s="7" t="s">
        <v>612</v>
      </c>
    </row>
    <row r="245" spans="1:9" x14ac:dyDescent="0.3">
      <c r="A245" s="6">
        <v>9343</v>
      </c>
      <c r="B245" s="7" t="s">
        <v>524</v>
      </c>
      <c r="C245" s="7" t="s">
        <v>525</v>
      </c>
      <c r="D245" s="7" t="s">
        <v>52</v>
      </c>
      <c r="E245" s="7" t="s">
        <v>626</v>
      </c>
      <c r="F245" s="9">
        <f>VLOOKUP(E245,'Program Fees'!A2:B24,2,FALSE)</f>
        <v>25</v>
      </c>
      <c r="G245" s="7" t="s">
        <v>11</v>
      </c>
      <c r="H245" s="7" t="s">
        <v>12</v>
      </c>
      <c r="I245" s="7" t="s">
        <v>616</v>
      </c>
    </row>
    <row r="246" spans="1:9" x14ac:dyDescent="0.3">
      <c r="A246" s="6">
        <v>9344</v>
      </c>
      <c r="B246" s="7" t="s">
        <v>526</v>
      </c>
      <c r="C246" s="7" t="s">
        <v>527</v>
      </c>
      <c r="D246" s="7" t="s">
        <v>463</v>
      </c>
      <c r="E246" s="7" t="s">
        <v>82</v>
      </c>
      <c r="F246" s="9">
        <f>VLOOKUP(E246,'Program Fees'!A2:B24,2,FALSE)</f>
        <v>85</v>
      </c>
      <c r="G246" s="7" t="s">
        <v>49</v>
      </c>
      <c r="H246" s="7" t="s">
        <v>12</v>
      </c>
      <c r="I246" s="7" t="s">
        <v>616</v>
      </c>
    </row>
    <row r="247" spans="1:9" x14ac:dyDescent="0.3">
      <c r="A247" s="6">
        <v>9345</v>
      </c>
      <c r="B247" s="7" t="s">
        <v>528</v>
      </c>
      <c r="C247" s="7" t="s">
        <v>529</v>
      </c>
      <c r="D247" s="7" t="s">
        <v>105</v>
      </c>
      <c r="E247" s="7" t="s">
        <v>106</v>
      </c>
      <c r="F247" s="9">
        <f>VLOOKUP(E247,'Program Fees'!A2:B24,2,FALSE)</f>
        <v>41</v>
      </c>
      <c r="G247" s="7" t="s">
        <v>21</v>
      </c>
      <c r="H247" s="7" t="s">
        <v>12</v>
      </c>
      <c r="I247" s="7" t="s">
        <v>612</v>
      </c>
    </row>
    <row r="248" spans="1:9" x14ac:dyDescent="0.3">
      <c r="A248" s="6">
        <v>9346</v>
      </c>
      <c r="B248" s="7" t="s">
        <v>530</v>
      </c>
      <c r="C248" s="7" t="s">
        <v>531</v>
      </c>
      <c r="D248" s="7" t="s">
        <v>532</v>
      </c>
      <c r="E248" s="7" t="s">
        <v>82</v>
      </c>
      <c r="F248" s="9">
        <f>VLOOKUP(E248,'Program Fees'!A2:B24,2,FALSE)</f>
        <v>85</v>
      </c>
      <c r="G248" s="7" t="s">
        <v>21</v>
      </c>
      <c r="H248" s="7" t="s">
        <v>12</v>
      </c>
      <c r="I248" s="7" t="s">
        <v>614</v>
      </c>
    </row>
    <row r="249" spans="1:9" x14ac:dyDescent="0.3">
      <c r="A249" s="6">
        <v>9347</v>
      </c>
      <c r="B249" s="7" t="s">
        <v>533</v>
      </c>
      <c r="C249" s="7" t="s">
        <v>534</v>
      </c>
      <c r="D249" s="7" t="s">
        <v>19</v>
      </c>
      <c r="E249" s="7" t="s">
        <v>20</v>
      </c>
      <c r="F249" s="9">
        <f>VLOOKUP(E249,'Program Fees'!A2:B24,2,FALSE)</f>
        <v>86</v>
      </c>
      <c r="G249" s="7" t="s">
        <v>49</v>
      </c>
      <c r="H249" s="7" t="s">
        <v>12</v>
      </c>
      <c r="I249" s="7" t="s">
        <v>617</v>
      </c>
    </row>
    <row r="250" spans="1:9" x14ac:dyDescent="0.3">
      <c r="A250" s="6">
        <v>9348</v>
      </c>
      <c r="B250" s="7" t="s">
        <v>535</v>
      </c>
      <c r="C250" s="7" t="s">
        <v>43</v>
      </c>
      <c r="D250" s="7" t="s">
        <v>25</v>
      </c>
      <c r="E250" s="7" t="s">
        <v>26</v>
      </c>
      <c r="F250" s="9">
        <f>VLOOKUP(E250,'Program Fees'!A2:B24,2,FALSE)</f>
        <v>46</v>
      </c>
      <c r="G250" s="7" t="s">
        <v>27</v>
      </c>
      <c r="H250" s="7" t="s">
        <v>12</v>
      </c>
      <c r="I250" s="7" t="s">
        <v>618</v>
      </c>
    </row>
    <row r="251" spans="1:9" x14ac:dyDescent="0.3">
      <c r="A251" s="6">
        <v>9349</v>
      </c>
      <c r="B251" s="7" t="s">
        <v>536</v>
      </c>
      <c r="C251" s="7" t="s">
        <v>537</v>
      </c>
      <c r="D251" s="7" t="s">
        <v>538</v>
      </c>
      <c r="E251" s="7" t="s">
        <v>82</v>
      </c>
      <c r="F251" s="9">
        <f>VLOOKUP(E251,'Program Fees'!A2:B24,2,FALSE)</f>
        <v>85</v>
      </c>
      <c r="G251" s="7" t="s">
        <v>11</v>
      </c>
      <c r="H251" s="7" t="s">
        <v>12</v>
      </c>
      <c r="I251" s="7" t="s">
        <v>613</v>
      </c>
    </row>
    <row r="252" spans="1:9" x14ac:dyDescent="0.3">
      <c r="A252" s="6">
        <v>9350</v>
      </c>
      <c r="B252" s="7" t="s">
        <v>539</v>
      </c>
      <c r="C252" s="7" t="s">
        <v>540</v>
      </c>
      <c r="D252" s="7" t="s">
        <v>85</v>
      </c>
      <c r="E252" s="7" t="s">
        <v>86</v>
      </c>
      <c r="F252" s="9">
        <f>VLOOKUP(E252,'Program Fees'!A2:B24,2,FALSE)</f>
        <v>24</v>
      </c>
      <c r="G252" s="7" t="s">
        <v>21</v>
      </c>
      <c r="H252" s="7" t="s">
        <v>12</v>
      </c>
      <c r="I252" s="7" t="s">
        <v>611</v>
      </c>
    </row>
    <row r="253" spans="1:9" x14ac:dyDescent="0.3">
      <c r="A253" s="6">
        <v>9351</v>
      </c>
      <c r="B253" s="7" t="s">
        <v>541</v>
      </c>
      <c r="C253" s="7" t="s">
        <v>542</v>
      </c>
      <c r="D253" s="7" t="s">
        <v>307</v>
      </c>
      <c r="E253" s="7" t="s">
        <v>16</v>
      </c>
      <c r="F253" s="9">
        <f>VLOOKUP(E253,'Program Fees'!A2:B24,2,FALSE)</f>
        <v>36</v>
      </c>
      <c r="G253" s="7" t="s">
        <v>49</v>
      </c>
      <c r="H253" s="7" t="s">
        <v>12</v>
      </c>
      <c r="I253" s="7" t="s">
        <v>154</v>
      </c>
    </row>
    <row r="254" spans="1:9" x14ac:dyDescent="0.3">
      <c r="A254" s="6">
        <v>9352</v>
      </c>
      <c r="B254" s="7" t="s">
        <v>543</v>
      </c>
      <c r="C254" s="7" t="s">
        <v>544</v>
      </c>
      <c r="D254" s="7" t="s">
        <v>176</v>
      </c>
      <c r="E254" s="7" t="s">
        <v>86</v>
      </c>
      <c r="F254" s="9">
        <f>VLOOKUP(E25,'Program Fees'!A2:B24,2,FALSE)</f>
        <v>24</v>
      </c>
      <c r="G254" s="7" t="s">
        <v>27</v>
      </c>
      <c r="H254" s="7" t="s">
        <v>12</v>
      </c>
      <c r="I254" s="7" t="s">
        <v>616</v>
      </c>
    </row>
    <row r="255" spans="1:9" x14ac:dyDescent="0.3">
      <c r="A255" s="6">
        <v>9353</v>
      </c>
      <c r="B255" s="7" t="s">
        <v>545</v>
      </c>
      <c r="C255" s="7" t="s">
        <v>546</v>
      </c>
      <c r="D255" s="7" t="s">
        <v>19</v>
      </c>
      <c r="E255" s="7" t="s">
        <v>20</v>
      </c>
      <c r="F255" s="9">
        <f>VLOOKUP(E255,'Program Fees'!A2:B24,2,FALSE)</f>
        <v>86</v>
      </c>
      <c r="G255" s="7" t="s">
        <v>21</v>
      </c>
      <c r="H255" s="7" t="s">
        <v>12</v>
      </c>
      <c r="I255" s="7" t="s">
        <v>618</v>
      </c>
    </row>
    <row r="256" spans="1:9" x14ac:dyDescent="0.3">
      <c r="A256" s="6">
        <v>9354</v>
      </c>
      <c r="B256" s="7" t="s">
        <v>547</v>
      </c>
      <c r="C256" s="7" t="s">
        <v>548</v>
      </c>
      <c r="D256" s="7" t="s">
        <v>19</v>
      </c>
      <c r="E256" s="7" t="s">
        <v>20</v>
      </c>
      <c r="F256" s="9">
        <f>VLOOKUP(E256,'Program Fees'!A2:B24,2,FALSE)</f>
        <v>86</v>
      </c>
      <c r="G256" s="7" t="s">
        <v>11</v>
      </c>
      <c r="H256" s="7" t="s">
        <v>12</v>
      </c>
      <c r="I256" s="7" t="s">
        <v>612</v>
      </c>
    </row>
    <row r="257" spans="1:9" x14ac:dyDescent="0.3">
      <c r="A257" s="6">
        <v>9355</v>
      </c>
      <c r="B257" s="7" t="s">
        <v>477</v>
      </c>
      <c r="C257" s="7" t="s">
        <v>549</v>
      </c>
      <c r="D257" s="7" t="s">
        <v>9</v>
      </c>
      <c r="E257" s="7" t="s">
        <v>10</v>
      </c>
      <c r="F257" s="9">
        <f>VLOOKUP(E257,'Program Fees'!A2:B24,2,FALSE)</f>
        <v>27</v>
      </c>
      <c r="G257" s="7" t="s">
        <v>49</v>
      </c>
      <c r="H257" s="7" t="s">
        <v>12</v>
      </c>
      <c r="I257" s="7" t="s">
        <v>613</v>
      </c>
    </row>
    <row r="258" spans="1:9" x14ac:dyDescent="0.3">
      <c r="A258" s="6">
        <v>9356</v>
      </c>
      <c r="B258" s="7" t="s">
        <v>550</v>
      </c>
      <c r="C258" s="7" t="s">
        <v>76</v>
      </c>
      <c r="D258" s="7" t="s">
        <v>166</v>
      </c>
      <c r="E258" s="7" t="s">
        <v>167</v>
      </c>
      <c r="F258" s="9">
        <f>VLOOKUP(E258,'Program Fees'!A2:B24,2,FALSE)</f>
        <v>20</v>
      </c>
      <c r="G258" s="7" t="s">
        <v>49</v>
      </c>
      <c r="H258" s="7" t="s">
        <v>12</v>
      </c>
      <c r="I258" s="7" t="s">
        <v>618</v>
      </c>
    </row>
    <row r="259" spans="1:9" x14ac:dyDescent="0.3">
      <c r="A259" s="6">
        <v>9357</v>
      </c>
      <c r="B259" s="7" t="s">
        <v>551</v>
      </c>
      <c r="C259" s="7" t="s">
        <v>552</v>
      </c>
      <c r="D259" s="7" t="s">
        <v>322</v>
      </c>
      <c r="E259" s="7" t="s">
        <v>16</v>
      </c>
      <c r="F259" s="9">
        <f>VLOOKUP(E259,'Program Fees'!A2:B24,2,FALSE)</f>
        <v>36</v>
      </c>
      <c r="G259" s="7" t="s">
        <v>11</v>
      </c>
      <c r="H259" s="7" t="s">
        <v>12</v>
      </c>
      <c r="I259" s="7" t="s">
        <v>614</v>
      </c>
    </row>
    <row r="260" spans="1:9" x14ac:dyDescent="0.3">
      <c r="A260" s="6">
        <v>9358</v>
      </c>
      <c r="B260" s="7" t="s">
        <v>553</v>
      </c>
      <c r="C260" s="7" t="s">
        <v>554</v>
      </c>
      <c r="D260" s="7" t="s">
        <v>9</v>
      </c>
      <c r="E260" s="7" t="s">
        <v>10</v>
      </c>
      <c r="F260" s="9">
        <f>VLOOKUP(E260,'Program Fees'!A2:B24,2,FALSE)</f>
        <v>27</v>
      </c>
      <c r="G260" s="7" t="s">
        <v>21</v>
      </c>
      <c r="H260" s="7" t="s">
        <v>12</v>
      </c>
      <c r="I260" s="7" t="s">
        <v>614</v>
      </c>
    </row>
    <row r="261" spans="1:9" x14ac:dyDescent="0.3">
      <c r="A261" s="6">
        <v>9359</v>
      </c>
      <c r="B261" s="7" t="s">
        <v>555</v>
      </c>
      <c r="C261" s="7" t="s">
        <v>556</v>
      </c>
      <c r="D261" s="7" t="s">
        <v>85</v>
      </c>
      <c r="E261" s="7" t="s">
        <v>86</v>
      </c>
      <c r="F261" s="9">
        <f>VLOOKUP(E261,'Program Fees'!A2:B24,2,FALSE)</f>
        <v>24</v>
      </c>
      <c r="G261" s="7" t="s">
        <v>21</v>
      </c>
      <c r="H261" s="7" t="s">
        <v>12</v>
      </c>
      <c r="I261" s="7" t="s">
        <v>154</v>
      </c>
    </row>
    <row r="262" spans="1:9" x14ac:dyDescent="0.3">
      <c r="A262" s="6">
        <v>9360</v>
      </c>
      <c r="B262" s="7" t="s">
        <v>557</v>
      </c>
      <c r="C262" s="7" t="s">
        <v>558</v>
      </c>
      <c r="D262" s="7" t="s">
        <v>19</v>
      </c>
      <c r="E262" s="7" t="s">
        <v>20</v>
      </c>
      <c r="F262" s="9">
        <f>VLOOKUP(E262,'Program Fees'!A2:B24,2,FALSE)</f>
        <v>86</v>
      </c>
      <c r="G262" s="7" t="s">
        <v>11</v>
      </c>
      <c r="H262" s="7" t="s">
        <v>12</v>
      </c>
      <c r="I262" s="7" t="s">
        <v>613</v>
      </c>
    </row>
    <row r="263" spans="1:9" x14ac:dyDescent="0.3">
      <c r="A263" s="6">
        <v>9361</v>
      </c>
      <c r="B263" s="7" t="s">
        <v>559</v>
      </c>
      <c r="C263" s="7" t="s">
        <v>560</v>
      </c>
      <c r="D263" s="7" t="s">
        <v>19</v>
      </c>
      <c r="E263" s="7" t="s">
        <v>20</v>
      </c>
      <c r="F263" s="9">
        <f>VLOOKUP(E263,'Program Fees'!A2:B24,2,FALSE)</f>
        <v>86</v>
      </c>
      <c r="G263" s="7" t="s">
        <v>11</v>
      </c>
      <c r="H263" s="7" t="s">
        <v>12</v>
      </c>
      <c r="I263" s="7" t="s">
        <v>616</v>
      </c>
    </row>
    <row r="264" spans="1:9" x14ac:dyDescent="0.3">
      <c r="A264" s="6">
        <v>9362</v>
      </c>
      <c r="B264" s="7" t="s">
        <v>76</v>
      </c>
      <c r="C264" s="7" t="s">
        <v>561</v>
      </c>
      <c r="D264" s="7" t="s">
        <v>166</v>
      </c>
      <c r="E264" s="7" t="s">
        <v>167</v>
      </c>
      <c r="F264" s="9">
        <f>VLOOKUP(E264,'Program Fees'!A2:B24,2,FALSE)</f>
        <v>20</v>
      </c>
      <c r="G264" s="7" t="s">
        <v>11</v>
      </c>
      <c r="H264" s="7" t="s">
        <v>22</v>
      </c>
      <c r="I264" s="7" t="s">
        <v>617</v>
      </c>
    </row>
    <row r="265" spans="1:9" x14ac:dyDescent="0.3">
      <c r="A265" s="6">
        <v>9363</v>
      </c>
      <c r="B265" s="7" t="s">
        <v>562</v>
      </c>
      <c r="C265" s="7" t="s">
        <v>563</v>
      </c>
      <c r="D265" s="7" t="s">
        <v>9</v>
      </c>
      <c r="E265" s="7" t="s">
        <v>10</v>
      </c>
      <c r="F265" s="9">
        <f>VLOOKUP(E265,'Program Fees'!A2:B24,2,FALSE)</f>
        <v>27</v>
      </c>
      <c r="G265" s="7" t="s">
        <v>11</v>
      </c>
      <c r="H265" s="7" t="s">
        <v>12</v>
      </c>
      <c r="I265" s="7" t="s">
        <v>612</v>
      </c>
    </row>
    <row r="266" spans="1:9" x14ac:dyDescent="0.3">
      <c r="A266" s="6">
        <v>9364</v>
      </c>
      <c r="B266" s="7" t="s">
        <v>509</v>
      </c>
      <c r="C266" s="7" t="s">
        <v>564</v>
      </c>
      <c r="D266" s="7" t="s">
        <v>30</v>
      </c>
      <c r="E266" s="7" t="s">
        <v>31</v>
      </c>
      <c r="F266" s="9">
        <f>VLOOKUP(E266,'Program Fees'!A2:B24,2,FALSE)</f>
        <v>74</v>
      </c>
      <c r="G266" s="7" t="s">
        <v>11</v>
      </c>
      <c r="H266" s="7" t="s">
        <v>12</v>
      </c>
      <c r="I266" s="7" t="s">
        <v>612</v>
      </c>
    </row>
    <row r="267" spans="1:9" x14ac:dyDescent="0.3">
      <c r="A267" s="6">
        <v>9365</v>
      </c>
      <c r="B267" s="7" t="s">
        <v>565</v>
      </c>
      <c r="C267" s="7" t="s">
        <v>566</v>
      </c>
      <c r="D267" s="7" t="s">
        <v>63</v>
      </c>
      <c r="E267" s="7" t="s">
        <v>64</v>
      </c>
      <c r="F267" s="9">
        <f>VLOOKUP(E267,'Program Fees'!A2:B24,2,FALSE)</f>
        <v>49</v>
      </c>
      <c r="G267" s="7" t="s">
        <v>11</v>
      </c>
      <c r="H267" s="7" t="s">
        <v>22</v>
      </c>
      <c r="I267" s="7" t="s">
        <v>154</v>
      </c>
    </row>
    <row r="268" spans="1:9" x14ac:dyDescent="0.3">
      <c r="A268" s="6">
        <v>9366</v>
      </c>
      <c r="B268" s="7" t="s">
        <v>567</v>
      </c>
      <c r="C268" s="7" t="s">
        <v>568</v>
      </c>
      <c r="D268" s="7" t="s">
        <v>453</v>
      </c>
      <c r="E268" s="7" t="s">
        <v>82</v>
      </c>
      <c r="F268" s="9">
        <f>VLOOKUP(E268,'Program Fees'!A2:B24,2,FALSE)</f>
        <v>85</v>
      </c>
      <c r="G268" s="7" t="s">
        <v>49</v>
      </c>
      <c r="H268" s="7" t="s">
        <v>12</v>
      </c>
      <c r="I268" s="7" t="s">
        <v>611</v>
      </c>
    </row>
    <row r="269" spans="1:9" x14ac:dyDescent="0.3">
      <c r="A269" s="6">
        <v>9367</v>
      </c>
      <c r="B269" s="7" t="s">
        <v>569</v>
      </c>
      <c r="C269" s="7" t="s">
        <v>570</v>
      </c>
      <c r="D269" s="7" t="s">
        <v>201</v>
      </c>
      <c r="E269" s="7" t="s">
        <v>624</v>
      </c>
      <c r="F269" s="9">
        <f>VLOOKUP(E269,'Program Fees'!A2:B24,2,FALSE)</f>
        <v>35</v>
      </c>
      <c r="G269" s="7" t="s">
        <v>49</v>
      </c>
      <c r="H269" s="7" t="s">
        <v>12</v>
      </c>
      <c r="I269" s="7" t="s">
        <v>616</v>
      </c>
    </row>
    <row r="270" spans="1:9" x14ac:dyDescent="0.3">
      <c r="A270" s="6">
        <v>9368</v>
      </c>
      <c r="B270" s="7" t="s">
        <v>571</v>
      </c>
      <c r="C270" s="7" t="s">
        <v>572</v>
      </c>
      <c r="D270" s="7" t="s">
        <v>60</v>
      </c>
      <c r="E270" s="7" t="s">
        <v>623</v>
      </c>
      <c r="F270" s="9">
        <f>VLOOKUP(E270,'Program Fees'!A2:B24,2,FALSE)</f>
        <v>58</v>
      </c>
      <c r="G270" s="7" t="s">
        <v>21</v>
      </c>
      <c r="H270" s="7" t="s">
        <v>12</v>
      </c>
      <c r="I270" s="7" t="s">
        <v>614</v>
      </c>
    </row>
    <row r="271" spans="1:9" x14ac:dyDescent="0.3">
      <c r="A271" s="6">
        <v>9369</v>
      </c>
      <c r="B271" s="7" t="s">
        <v>573</v>
      </c>
      <c r="C271" s="7" t="s">
        <v>574</v>
      </c>
      <c r="D271" s="7" t="s">
        <v>9</v>
      </c>
      <c r="E271" s="7" t="s">
        <v>10</v>
      </c>
      <c r="F271" s="9">
        <f>VLOOKUP(E271,'Program Fees'!A2:B24,2,FALSE)</f>
        <v>27</v>
      </c>
      <c r="G271" s="7" t="s">
        <v>49</v>
      </c>
      <c r="H271" s="7" t="s">
        <v>12</v>
      </c>
      <c r="I271" s="7" t="s">
        <v>618</v>
      </c>
    </row>
    <row r="272" spans="1:9" x14ac:dyDescent="0.3">
      <c r="A272" s="6">
        <v>9370</v>
      </c>
      <c r="B272" s="7" t="s">
        <v>575</v>
      </c>
      <c r="C272" s="7" t="s">
        <v>576</v>
      </c>
      <c r="D272" s="7" t="s">
        <v>63</v>
      </c>
      <c r="E272" s="7" t="s">
        <v>64</v>
      </c>
      <c r="F272" s="9">
        <f>VLOOKUP(E272,'Program Fees'!A2:B24,2,FALSE)</f>
        <v>49</v>
      </c>
      <c r="G272" s="7" t="s">
        <v>11</v>
      </c>
      <c r="H272" s="7" t="s">
        <v>12</v>
      </c>
      <c r="I272" s="7" t="s">
        <v>613</v>
      </c>
    </row>
    <row r="273" spans="1:9" x14ac:dyDescent="0.3">
      <c r="A273" s="6">
        <v>9371</v>
      </c>
      <c r="B273" s="7" t="s">
        <v>577</v>
      </c>
      <c r="C273" s="7" t="s">
        <v>578</v>
      </c>
      <c r="D273" s="7" t="s">
        <v>201</v>
      </c>
      <c r="E273" s="7" t="s">
        <v>624</v>
      </c>
      <c r="F273" s="9">
        <f>VLOOKUP(E273,'Program Fees'!A2:B24,2,FALSE)</f>
        <v>35</v>
      </c>
      <c r="G273" s="7" t="s">
        <v>49</v>
      </c>
      <c r="H273" s="7" t="s">
        <v>12</v>
      </c>
      <c r="I273" s="7" t="s">
        <v>614</v>
      </c>
    </row>
    <row r="274" spans="1:9" x14ac:dyDescent="0.3">
      <c r="A274" s="6">
        <v>9372</v>
      </c>
      <c r="B274" s="7" t="s">
        <v>579</v>
      </c>
      <c r="C274" s="7" t="s">
        <v>580</v>
      </c>
      <c r="D274" s="7" t="s">
        <v>60</v>
      </c>
      <c r="E274" s="7" t="s">
        <v>623</v>
      </c>
      <c r="F274" s="9">
        <f>VLOOKUP(E274,'Program Fees'!A2:B24,2,FALSE)</f>
        <v>58</v>
      </c>
      <c r="G274" s="7" t="s">
        <v>11</v>
      </c>
      <c r="H274" s="7" t="s">
        <v>12</v>
      </c>
      <c r="I274" s="7" t="s">
        <v>616</v>
      </c>
    </row>
    <row r="275" spans="1:9" x14ac:dyDescent="0.3">
      <c r="A275" s="6">
        <v>9373</v>
      </c>
      <c r="B275" s="7" t="s">
        <v>581</v>
      </c>
      <c r="C275" s="7" t="s">
        <v>582</v>
      </c>
      <c r="D275" s="7" t="s">
        <v>60</v>
      </c>
      <c r="E275" s="7" t="s">
        <v>623</v>
      </c>
      <c r="F275" s="9">
        <f>VLOOKUP(E275,'Program Fees'!A2:B24,2,FALSE)</f>
        <v>58</v>
      </c>
      <c r="G275" s="7" t="s">
        <v>21</v>
      </c>
      <c r="H275" s="7" t="s">
        <v>12</v>
      </c>
      <c r="I275" s="7" t="s">
        <v>615</v>
      </c>
    </row>
    <row r="276" spans="1:9" x14ac:dyDescent="0.3">
      <c r="A276" s="6">
        <v>9374</v>
      </c>
      <c r="B276" s="7" t="s">
        <v>583</v>
      </c>
      <c r="C276" s="7" t="s">
        <v>584</v>
      </c>
      <c r="D276" s="7" t="s">
        <v>85</v>
      </c>
      <c r="E276" s="7" t="s">
        <v>86</v>
      </c>
      <c r="F276" s="9">
        <f>VLOOKUP(E276,'Program Fees'!A2:B24,2,FALSE)</f>
        <v>24</v>
      </c>
      <c r="G276" s="7" t="s">
        <v>21</v>
      </c>
      <c r="H276" s="7" t="s">
        <v>12</v>
      </c>
      <c r="I276" s="7" t="s">
        <v>616</v>
      </c>
    </row>
    <row r="277" spans="1:9" x14ac:dyDescent="0.3">
      <c r="A277" s="6">
        <v>9375</v>
      </c>
      <c r="B277" s="7" t="s">
        <v>585</v>
      </c>
      <c r="C277" s="7" t="s">
        <v>586</v>
      </c>
      <c r="D277" s="7" t="s">
        <v>74</v>
      </c>
      <c r="E277" s="7" t="s">
        <v>622</v>
      </c>
      <c r="F277" s="9">
        <f>VLOOKUP(E277,'Program Fees'!A2:B24,2,FALSE)</f>
        <v>60</v>
      </c>
      <c r="G277" s="7" t="s">
        <v>21</v>
      </c>
      <c r="H277" s="7" t="s">
        <v>12</v>
      </c>
      <c r="I277" s="7" t="s">
        <v>614</v>
      </c>
    </row>
    <row r="278" spans="1:9" x14ac:dyDescent="0.3">
      <c r="A278" s="6">
        <v>9376</v>
      </c>
      <c r="B278" s="7" t="s">
        <v>587</v>
      </c>
      <c r="C278" s="7" t="s">
        <v>588</v>
      </c>
      <c r="D278" s="7" t="s">
        <v>201</v>
      </c>
      <c r="E278" s="7" t="s">
        <v>624</v>
      </c>
      <c r="F278" s="9">
        <f>VLOOKUP(E278,'Program Fees'!A2:B24,2,FALSE)</f>
        <v>35</v>
      </c>
      <c r="G278" s="7" t="s">
        <v>21</v>
      </c>
      <c r="H278" s="7" t="s">
        <v>12</v>
      </c>
      <c r="I278" s="7" t="s">
        <v>613</v>
      </c>
    </row>
    <row r="279" spans="1:9" x14ac:dyDescent="0.3">
      <c r="A279" s="6">
        <v>9377</v>
      </c>
      <c r="B279" s="7" t="s">
        <v>589</v>
      </c>
      <c r="C279" s="7" t="s">
        <v>590</v>
      </c>
      <c r="D279" s="7" t="s">
        <v>30</v>
      </c>
      <c r="E279" s="7" t="s">
        <v>31</v>
      </c>
      <c r="F279" s="9">
        <f>VLOOKUP(E279,'Program Fees'!A2:B24,2,FALSE)</f>
        <v>74</v>
      </c>
      <c r="G279" s="7" t="s">
        <v>49</v>
      </c>
      <c r="H279" s="7" t="s">
        <v>12</v>
      </c>
      <c r="I279" s="7" t="s">
        <v>614</v>
      </c>
    </row>
    <row r="280" spans="1:9" x14ac:dyDescent="0.3">
      <c r="A280" s="6">
        <v>9378</v>
      </c>
      <c r="B280" s="7" t="s">
        <v>591</v>
      </c>
      <c r="C280" s="7" t="s">
        <v>592</v>
      </c>
      <c r="D280" s="7" t="s">
        <v>85</v>
      </c>
      <c r="E280" s="7" t="s">
        <v>86</v>
      </c>
      <c r="F280" s="9">
        <f>VLOOKUP(E280,'Program Fees'!A2:B24,2,FALSE)</f>
        <v>24</v>
      </c>
      <c r="G280" s="7" t="s">
        <v>49</v>
      </c>
      <c r="H280" s="7" t="s">
        <v>12</v>
      </c>
      <c r="I280" s="7" t="s">
        <v>615</v>
      </c>
    </row>
    <row r="281" spans="1:9" x14ac:dyDescent="0.3">
      <c r="A281" s="6">
        <v>9379</v>
      </c>
      <c r="B281" s="7" t="s">
        <v>593</v>
      </c>
      <c r="C281" s="7" t="s">
        <v>594</v>
      </c>
      <c r="D281" s="7" t="s">
        <v>322</v>
      </c>
      <c r="E281" s="7" t="s">
        <v>16</v>
      </c>
      <c r="F281" s="9">
        <f>VLOOKUP(E281,'Program Fees'!A2:B24,2,FALSE)</f>
        <v>36</v>
      </c>
      <c r="G281" s="7" t="s">
        <v>21</v>
      </c>
      <c r="H281" s="7" t="s">
        <v>22</v>
      </c>
      <c r="I281" s="7" t="s">
        <v>615</v>
      </c>
    </row>
    <row r="282" spans="1:9" x14ac:dyDescent="0.3">
      <c r="A282" s="6">
        <v>9380</v>
      </c>
      <c r="B282" s="7" t="s">
        <v>595</v>
      </c>
      <c r="C282" s="7" t="s">
        <v>112</v>
      </c>
      <c r="D282" s="7" t="s">
        <v>30</v>
      </c>
      <c r="E282" s="7" t="s">
        <v>31</v>
      </c>
      <c r="F282" s="9">
        <f>VLOOKUP(E282,'Program Fees'!A2:B24,2,FALSE)</f>
        <v>74</v>
      </c>
      <c r="G282" s="7" t="s">
        <v>11</v>
      </c>
      <c r="H282" s="7" t="s">
        <v>12</v>
      </c>
      <c r="I282" s="7" t="s">
        <v>618</v>
      </c>
    </row>
    <row r="283" spans="1:9" x14ac:dyDescent="0.3">
      <c r="A283" s="6">
        <v>9381</v>
      </c>
      <c r="B283" s="7" t="s">
        <v>596</v>
      </c>
      <c r="C283" s="7" t="s">
        <v>597</v>
      </c>
      <c r="D283" s="7" t="s">
        <v>30</v>
      </c>
      <c r="E283" s="7" t="s">
        <v>31</v>
      </c>
      <c r="F283" s="9">
        <f>VLOOKUP(E283,'Program Fees'!A2:B24,2,FALSE)</f>
        <v>74</v>
      </c>
      <c r="G283" s="7" t="s">
        <v>49</v>
      </c>
      <c r="H283" s="7" t="s">
        <v>12</v>
      </c>
      <c r="I283" s="7" t="s">
        <v>154</v>
      </c>
    </row>
    <row r="284" spans="1:9" x14ac:dyDescent="0.3">
      <c r="A284" s="6">
        <v>9382</v>
      </c>
      <c r="B284" s="7" t="s">
        <v>598</v>
      </c>
      <c r="C284" s="7" t="s">
        <v>599</v>
      </c>
      <c r="D284" s="7" t="s">
        <v>19</v>
      </c>
      <c r="E284" s="7" t="s">
        <v>20</v>
      </c>
      <c r="F284" s="9">
        <f>VLOOKUP(E284,'Program Fees'!A2:B24,2,FALSE)</f>
        <v>86</v>
      </c>
      <c r="G284" s="7" t="s">
        <v>49</v>
      </c>
      <c r="H284" s="7" t="s">
        <v>12</v>
      </c>
      <c r="I284" s="7" t="s">
        <v>613</v>
      </c>
    </row>
    <row r="285" spans="1:9" x14ac:dyDescent="0.3">
      <c r="A285" s="6">
        <v>9383</v>
      </c>
      <c r="B285" s="7" t="s">
        <v>600</v>
      </c>
      <c r="C285" s="7" t="s">
        <v>601</v>
      </c>
      <c r="D285" s="7" t="s">
        <v>60</v>
      </c>
      <c r="E285" s="7" t="s">
        <v>623</v>
      </c>
      <c r="F285" s="9">
        <f>VLOOKUP(E285,'Program Fees'!A2:B24,2,FALSE)</f>
        <v>58</v>
      </c>
      <c r="G285" s="7" t="s">
        <v>49</v>
      </c>
      <c r="H285" s="7" t="s">
        <v>12</v>
      </c>
      <c r="I285" s="7" t="s">
        <v>612</v>
      </c>
    </row>
    <row r="286" spans="1:9" x14ac:dyDescent="0.3">
      <c r="A286" s="6">
        <v>9384</v>
      </c>
      <c r="B286" s="7" t="s">
        <v>43</v>
      </c>
      <c r="C286" s="7" t="s">
        <v>480</v>
      </c>
      <c r="D286" s="7" t="s">
        <v>60</v>
      </c>
      <c r="E286" s="7" t="s">
        <v>623</v>
      </c>
      <c r="F286" s="9">
        <f>VLOOKUP(E286,'Program Fees'!A2:B24,2,FALSE)</f>
        <v>58</v>
      </c>
      <c r="G286" s="7" t="s">
        <v>11</v>
      </c>
      <c r="H286" s="7" t="s">
        <v>12</v>
      </c>
      <c r="I286" s="7" t="s">
        <v>611</v>
      </c>
    </row>
    <row r="287" spans="1:9" x14ac:dyDescent="0.3">
      <c r="A287" s="6">
        <v>9385</v>
      </c>
      <c r="B287" s="7" t="s">
        <v>602</v>
      </c>
      <c r="C287" s="7" t="s">
        <v>603</v>
      </c>
      <c r="D287" s="7" t="s">
        <v>25</v>
      </c>
      <c r="E287" s="7" t="s">
        <v>26</v>
      </c>
      <c r="F287" s="9">
        <f>VLOOKUP(E287,'Program Fees'!A2:B24,2,FALSE)</f>
        <v>46</v>
      </c>
      <c r="G287" s="7" t="s">
        <v>32</v>
      </c>
      <c r="H287" s="7" t="s">
        <v>12</v>
      </c>
      <c r="I287" s="7" t="s">
        <v>614</v>
      </c>
    </row>
    <row r="288" spans="1:9" x14ac:dyDescent="0.3">
      <c r="A288" s="6">
        <v>9386</v>
      </c>
      <c r="B288" s="7" t="s">
        <v>604</v>
      </c>
      <c r="C288" s="7" t="s">
        <v>605</v>
      </c>
      <c r="D288" s="7" t="s">
        <v>166</v>
      </c>
      <c r="E288" s="7" t="s">
        <v>167</v>
      </c>
      <c r="F288" s="9">
        <f>VLOOKUP(E288,'Program Fees'!A2:B24,2,FALSE)</f>
        <v>20</v>
      </c>
      <c r="G288" s="7" t="s">
        <v>11</v>
      </c>
      <c r="H288" s="7" t="s">
        <v>12</v>
      </c>
      <c r="I288" s="7" t="s">
        <v>616</v>
      </c>
    </row>
    <row r="289" spans="1:9" x14ac:dyDescent="0.3">
      <c r="A289" s="6">
        <v>9387</v>
      </c>
      <c r="B289" s="7" t="s">
        <v>606</v>
      </c>
      <c r="C289" s="7" t="s">
        <v>607</v>
      </c>
      <c r="D289" s="7" t="s">
        <v>608</v>
      </c>
      <c r="E289" s="7" t="s">
        <v>621</v>
      </c>
      <c r="F289" s="9">
        <f>VLOOKUP(E289,'Program Fees'!A2:B24,2,FALSE)</f>
        <v>21</v>
      </c>
      <c r="G289" s="7" t="s">
        <v>11</v>
      </c>
      <c r="H289" s="7" t="s">
        <v>12</v>
      </c>
      <c r="I289" s="7" t="s">
        <v>614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G16" sqref="G16"/>
    </sheetView>
  </sheetViews>
  <sheetFormatPr defaultRowHeight="14.4" x14ac:dyDescent="0.3"/>
  <cols>
    <col min="1" max="1" width="30" bestFit="1" customWidth="1"/>
  </cols>
  <sheetData>
    <row r="1" spans="1:2" x14ac:dyDescent="0.3">
      <c r="A1" s="1" t="s">
        <v>3</v>
      </c>
      <c r="B1" s="1" t="s">
        <v>610</v>
      </c>
    </row>
    <row r="2" spans="1:2" x14ac:dyDescent="0.3">
      <c r="A2" t="s">
        <v>153</v>
      </c>
      <c r="B2" s="2">
        <v>23</v>
      </c>
    </row>
    <row r="3" spans="1:2" x14ac:dyDescent="0.3">
      <c r="A3" t="s">
        <v>626</v>
      </c>
      <c r="B3" s="2">
        <v>25</v>
      </c>
    </row>
    <row r="4" spans="1:2" x14ac:dyDescent="0.3">
      <c r="A4" t="s">
        <v>10</v>
      </c>
      <c r="B4" s="2">
        <v>27</v>
      </c>
    </row>
    <row r="5" spans="1:2" x14ac:dyDescent="0.3">
      <c r="A5" t="s">
        <v>20</v>
      </c>
      <c r="B5" s="2">
        <v>86</v>
      </c>
    </row>
    <row r="6" spans="1:2" x14ac:dyDescent="0.3">
      <c r="A6" t="s">
        <v>621</v>
      </c>
      <c r="B6" s="2">
        <v>21</v>
      </c>
    </row>
    <row r="7" spans="1:2" x14ac:dyDescent="0.3">
      <c r="A7" t="s">
        <v>622</v>
      </c>
      <c r="B7" s="2">
        <v>60</v>
      </c>
    </row>
    <row r="8" spans="1:2" x14ac:dyDescent="0.3">
      <c r="A8" t="s">
        <v>620</v>
      </c>
      <c r="B8" s="2">
        <v>58</v>
      </c>
    </row>
    <row r="9" spans="1:2" x14ac:dyDescent="0.3">
      <c r="A9" t="s">
        <v>31</v>
      </c>
      <c r="B9" s="2">
        <v>74</v>
      </c>
    </row>
    <row r="10" spans="1:2" x14ac:dyDescent="0.3">
      <c r="A10" t="s">
        <v>211</v>
      </c>
      <c r="B10" s="2">
        <v>26</v>
      </c>
    </row>
    <row r="11" spans="1:2" x14ac:dyDescent="0.3">
      <c r="A11" t="s">
        <v>64</v>
      </c>
      <c r="B11" s="2">
        <v>49</v>
      </c>
    </row>
    <row r="12" spans="1:2" x14ac:dyDescent="0.3">
      <c r="A12" t="s">
        <v>16</v>
      </c>
      <c r="B12" s="2">
        <v>36</v>
      </c>
    </row>
    <row r="13" spans="1:2" x14ac:dyDescent="0.3">
      <c r="A13" t="s">
        <v>623</v>
      </c>
      <c r="B13" s="2">
        <v>58</v>
      </c>
    </row>
    <row r="14" spans="1:2" x14ac:dyDescent="0.3">
      <c r="A14" t="s">
        <v>82</v>
      </c>
      <c r="B14" s="2">
        <v>85</v>
      </c>
    </row>
    <row r="15" spans="1:2" x14ac:dyDescent="0.3">
      <c r="A15" t="s">
        <v>36</v>
      </c>
      <c r="B15" s="2">
        <v>81</v>
      </c>
    </row>
    <row r="16" spans="1:2" x14ac:dyDescent="0.3">
      <c r="A16" t="s">
        <v>171</v>
      </c>
      <c r="B16" s="2">
        <v>68</v>
      </c>
    </row>
    <row r="17" spans="1:2" x14ac:dyDescent="0.3">
      <c r="A17" t="s">
        <v>147</v>
      </c>
      <c r="B17" s="2">
        <v>42</v>
      </c>
    </row>
    <row r="18" spans="1:2" x14ac:dyDescent="0.3">
      <c r="A18" t="s">
        <v>26</v>
      </c>
      <c r="B18" s="2">
        <v>46</v>
      </c>
    </row>
    <row r="19" spans="1:2" x14ac:dyDescent="0.3">
      <c r="A19" t="s">
        <v>40</v>
      </c>
      <c r="B19" s="2">
        <v>75</v>
      </c>
    </row>
    <row r="20" spans="1:2" x14ac:dyDescent="0.3">
      <c r="A20" t="s">
        <v>167</v>
      </c>
      <c r="B20" s="2">
        <v>20</v>
      </c>
    </row>
    <row r="21" spans="1:2" x14ac:dyDescent="0.3">
      <c r="A21" t="s">
        <v>86</v>
      </c>
      <c r="B21" s="2">
        <v>24</v>
      </c>
    </row>
    <row r="22" spans="1:2" x14ac:dyDescent="0.3">
      <c r="A22" t="s">
        <v>624</v>
      </c>
      <c r="B22" s="2">
        <v>35</v>
      </c>
    </row>
    <row r="23" spans="1:2" x14ac:dyDescent="0.3">
      <c r="A23" t="s">
        <v>106</v>
      </c>
      <c r="B23" s="2">
        <v>41</v>
      </c>
    </row>
    <row r="24" spans="1:2" x14ac:dyDescent="0.3">
      <c r="A24" t="s">
        <v>625</v>
      </c>
      <c r="B24" s="2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FB1796C7A54349A67930A9E98FFA33" ma:contentTypeVersion="12" ma:contentTypeDescription="Create a new document." ma:contentTypeScope="" ma:versionID="ba6c76ce8d155063fb686ff06cfeb3e1">
  <xsd:schema xmlns:xsd="http://www.w3.org/2001/XMLSchema" xmlns:xs="http://www.w3.org/2001/XMLSchema" xmlns:p="http://schemas.microsoft.com/office/2006/metadata/properties" xmlns:ns2="39ef0995-f340-485f-a44a-0c60afb7c13e" xmlns:ns3="aa504cd8-0e2d-49cd-b0df-da45d3cad8b1" targetNamespace="http://schemas.microsoft.com/office/2006/metadata/properties" ma:root="true" ma:fieldsID="10b0dce4f4bc17346401271424b5492e" ns2:_="" ns3:_="">
    <xsd:import namespace="39ef0995-f340-485f-a44a-0c60afb7c13e"/>
    <xsd:import namespace="aa504cd8-0e2d-49cd-b0df-da45d3cad8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f0995-f340-485f-a44a-0c60afb7c1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504cd8-0e2d-49cd-b0df-da45d3cad8b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52961C-A0B1-4800-B00E-0B36B0F7D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ef0995-f340-485f-a44a-0c60afb7c13e"/>
    <ds:schemaRef ds:uri="aa504cd8-0e2d-49cd-b0df-da45d3cad8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8C3664-79CC-47AF-BD02-421E7E2B0E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6AE0A1-877B-4B40-9825-CC58D85A0CD1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aa504cd8-0e2d-49cd-b0df-da45d3cad8b1"/>
    <ds:schemaRef ds:uri="39ef0995-f340-485f-a44a-0c60afb7c1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Program Fees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Law</dc:creator>
  <cp:lastModifiedBy>5769cb3a Power BI</cp:lastModifiedBy>
  <dcterms:created xsi:type="dcterms:W3CDTF">2008-05-13T16:28:07Z</dcterms:created>
  <dcterms:modified xsi:type="dcterms:W3CDTF">2026-04-28T13:20:48Z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0x01010016FB1796C7A54349A67930A9E98FFA33</vt:lpwstr>
  </property>
</Properties>
</file>