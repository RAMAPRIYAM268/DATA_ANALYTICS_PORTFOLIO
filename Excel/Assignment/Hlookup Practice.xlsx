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apriya Murugesan\Desktop\"/>
    </mc:Choice>
  </mc:AlternateContent>
  <xr:revisionPtr revIDLastSave="0" documentId="13_ncr:1_{C5926800-F96E-47F1-AAD6-11BCB07B1208}" xr6:coauthVersionLast="47" xr6:coauthVersionMax="47" xr10:uidLastSave="{00000000-0000-0000-0000-000000000000}"/>
  <bookViews>
    <workbookView xWindow="-108" yWindow="-108" windowWidth="23256" windowHeight="12456" xr2:uid="{716606B0-5BA0-4E72-922E-425508A95F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1" i="1" l="1"/>
  <c r="G12" i="1" a="1"/>
  <c r="G12" i="1" s="1"/>
  <c r="G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<sst xmlns="http://schemas.openxmlformats.org/spreadsheetml/2006/main" count="58" uniqueCount="26">
  <si>
    <t>ID</t>
  </si>
  <si>
    <t>Name</t>
  </si>
  <si>
    <t>Marks</t>
  </si>
  <si>
    <t>Department</t>
  </si>
  <si>
    <t>City</t>
  </si>
  <si>
    <t>Grade</t>
  </si>
  <si>
    <t>Attendance</t>
  </si>
  <si>
    <t>Result</t>
  </si>
  <si>
    <t>Ram</t>
  </si>
  <si>
    <t>Ravi</t>
  </si>
  <si>
    <t>Sita</t>
  </si>
  <si>
    <t>Anu</t>
  </si>
  <si>
    <t>CSE</t>
  </si>
  <si>
    <t>ECE</t>
  </si>
  <si>
    <t>IT</t>
  </si>
  <si>
    <t>MECH</t>
  </si>
  <si>
    <t>Chennai</t>
  </si>
  <si>
    <t>Madurai</t>
  </si>
  <si>
    <t>Trichy</t>
  </si>
  <si>
    <t>Salem</t>
  </si>
  <si>
    <t>B</t>
  </si>
  <si>
    <t>A</t>
  </si>
  <si>
    <t>C</t>
  </si>
  <si>
    <t>Pass</t>
  </si>
  <si>
    <t>HLOOKUP</t>
  </si>
  <si>
    <t>XLOOKUP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</si>
</sst>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9" fontId="0" fillId="0" borderId="0" xfId="0" applyNumberFormat="1"/>
    <xf numFmtId="10" fontId="0" fillId="0" borderId="0" xfId="0" applyNumberFormat="1"/>
    <xf numFmtId="9" fontId="0" fillId="0" borderId="0" xfId="1" applyFont="1"/>
    <xf numFmtId="0" fontId="3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4E8BD-3C5F-4AD1-908F-5C411B18FA8F}">
  <dimension ref="A2:M21"/>
  <sheetViews>
    <sheetView tabSelected="1" workbookViewId="0">
      <selection activeCell="P20" sqref="P20"/>
    </sheetView>
  </sheetViews>
  <sheetFormatPr defaultRowHeight="14.4" x14ac:dyDescent="0.3"/>
  <cols>
    <col min="1" max="1" width="13.77734375" customWidth="1"/>
    <col min="7" max="8" width="7.88671875" customWidth="1"/>
    <col min="9" max="9" width="5.5546875" customWidth="1"/>
    <col min="10" max="10" width="7.6640625" customWidth="1"/>
    <col min="11" max="11" width="4.21875" customWidth="1"/>
    <col min="12" max="12" width="6.77734375" customWidth="1"/>
    <col min="13" max="13" width="5.33203125" customWidth="1"/>
  </cols>
  <sheetData>
    <row r="2" spans="1:13" ht="21" x14ac:dyDescent="0.4">
      <c r="A2" s="1" t="s">
        <v>0</v>
      </c>
      <c r="B2" s="1">
        <v>101</v>
      </c>
      <c r="C2" s="1">
        <v>102</v>
      </c>
      <c r="D2" s="1">
        <v>103</v>
      </c>
      <c r="E2" s="1">
        <v>104</v>
      </c>
      <c r="I2" s="5" t="s">
        <v>24</v>
      </c>
      <c r="J2" s="5"/>
      <c r="K2" s="5"/>
    </row>
    <row r="3" spans="1:13" x14ac:dyDescent="0.3">
      <c r="A3" s="1" t="s">
        <v>1</v>
      </c>
      <c r="B3" t="s">
        <v>8</v>
      </c>
      <c r="C3" t="s">
        <v>9</v>
      </c>
      <c r="D3" t="s">
        <v>10</v>
      </c>
      <c r="E3" t="s">
        <v>11</v>
      </c>
    </row>
    <row r="4" spans="1:13" x14ac:dyDescent="0.3">
      <c r="A4" s="1" t="s">
        <v>2</v>
      </c>
      <c r="B4">
        <v>85</v>
      </c>
      <c r="C4">
        <v>90</v>
      </c>
      <c r="D4">
        <v>78</v>
      </c>
      <c r="E4">
        <v>88</v>
      </c>
    </row>
    <row r="5" spans="1:13" x14ac:dyDescent="0.3">
      <c r="A5" s="1" t="s">
        <v>3</v>
      </c>
      <c r="B5" t="s">
        <v>12</v>
      </c>
      <c r="C5" t="s">
        <v>13</v>
      </c>
      <c r="D5" t="s">
        <v>14</v>
      </c>
      <c r="E5" t="s">
        <v>15</v>
      </c>
    </row>
    <row r="6" spans="1:13" x14ac:dyDescent="0.3">
      <c r="A6" s="1" t="s">
        <v>4</v>
      </c>
      <c r="B6" t="s">
        <v>16</v>
      </c>
      <c r="C6" t="s">
        <v>17</v>
      </c>
      <c r="D6" t="s">
        <v>18</v>
      </c>
      <c r="E6" t="s">
        <v>19</v>
      </c>
    </row>
    <row r="7" spans="1:13" x14ac:dyDescent="0.3">
      <c r="A7" s="1" t="s">
        <v>5</v>
      </c>
      <c r="B7" t="s">
        <v>20</v>
      </c>
      <c r="C7" t="s">
        <v>21</v>
      </c>
      <c r="D7" t="s">
        <v>22</v>
      </c>
      <c r="E7" t="s">
        <v>21</v>
      </c>
    </row>
    <row r="8" spans="1:13" x14ac:dyDescent="0.3">
      <c r="A8" s="1" t="s">
        <v>6</v>
      </c>
      <c r="B8" s="2">
        <v>0.92</v>
      </c>
      <c r="C8" s="2">
        <v>0.95</v>
      </c>
      <c r="D8" s="3">
        <v>0.88</v>
      </c>
      <c r="E8" s="2">
        <v>0.9</v>
      </c>
    </row>
    <row r="9" spans="1:13" x14ac:dyDescent="0.3">
      <c r="A9" s="1" t="s">
        <v>7</v>
      </c>
      <c r="B9" t="s">
        <v>23</v>
      </c>
      <c r="C9" t="s">
        <v>23</v>
      </c>
      <c r="D9" t="s">
        <v>23</v>
      </c>
      <c r="E9" t="s">
        <v>23</v>
      </c>
      <c r="G9" t="str">
        <f>HLOOKUP(B2,A2:E9,4,0)</f>
        <v>CSE</v>
      </c>
    </row>
    <row r="12" spans="1:13" x14ac:dyDescent="0.3">
      <c r="G12" t="str" cm="1">
        <f t="array" ref="G12:M12">HLOOKUP(C2,A2:E9,{2,3,4,5,6,7,8},0)</f>
        <v>Ravi</v>
      </c>
      <c r="H12">
        <v>90</v>
      </c>
      <c r="I12" t="str">
        <v>ECE</v>
      </c>
      <c r="J12" t="str">
        <v>Madurai</v>
      </c>
      <c r="K12" t="str">
        <v>A</v>
      </c>
      <c r="L12">
        <v>0.95</v>
      </c>
      <c r="M12" t="str">
        <v>Pass</v>
      </c>
    </row>
    <row r="16" spans="1:13" ht="21" x14ac:dyDescent="0.4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/>
      <c r="K16" s="5"/>
      <c r="L16" s="5" t="s">
        <v>25</v>
      </c>
      <c r="M16" s="5"/>
    </row>
    <row r="17" spans="1:12" x14ac:dyDescent="0.3">
      <c r="A17" s="1">
        <v>101</v>
      </c>
      <c r="B17" t="s">
        <v>8</v>
      </c>
      <c r="C17">
        <v>85</v>
      </c>
      <c r="D17" t="s">
        <v>12</v>
      </c>
      <c r="E17" t="s">
        <v>16</v>
      </c>
      <c r="F17" t="s">
        <v>20</v>
      </c>
      <c r="G17" s="2">
        <v>0.92</v>
      </c>
      <c r="H17" t="s">
        <v>23</v>
      </c>
      <c r="I17" s="1"/>
    </row>
    <row r="18" spans="1:12" x14ac:dyDescent="0.3">
      <c r="A18" s="1">
        <v>102</v>
      </c>
      <c r="B18" t="s">
        <v>9</v>
      </c>
      <c r="C18">
        <v>90</v>
      </c>
      <c r="D18" t="s">
        <v>13</v>
      </c>
      <c r="E18" t="s">
        <v>17</v>
      </c>
      <c r="F18" t="s">
        <v>21</v>
      </c>
      <c r="G18" s="2">
        <v>0.95</v>
      </c>
      <c r="H18" t="s">
        <v>23</v>
      </c>
      <c r="I18" s="1"/>
    </row>
    <row r="19" spans="1:12" x14ac:dyDescent="0.3">
      <c r="A19" s="1">
        <v>103</v>
      </c>
      <c r="B19" t="s">
        <v>10</v>
      </c>
      <c r="C19">
        <v>78</v>
      </c>
      <c r="D19" t="s">
        <v>14</v>
      </c>
      <c r="E19" t="s">
        <v>18</v>
      </c>
      <c r="F19" t="s">
        <v>22</v>
      </c>
      <c r="G19" s="4">
        <v>0.88</v>
      </c>
      <c r="H19" t="s">
        <v>23</v>
      </c>
      <c r="I19" s="1"/>
    </row>
    <row r="20" spans="1:12" x14ac:dyDescent="0.3">
      <c r="A20" s="1">
        <v>104</v>
      </c>
      <c r="B20" t="s">
        <v>11</v>
      </c>
      <c r="C20">
        <v>88</v>
      </c>
      <c r="D20" t="s">
        <v>15</v>
      </c>
      <c r="E20" t="s">
        <v>19</v>
      </c>
      <c r="F20" t="s">
        <v>21</v>
      </c>
      <c r="G20" s="2">
        <v>0.9</v>
      </c>
      <c r="H20" t="s">
        <v>23</v>
      </c>
      <c r="I20" s="1"/>
    </row>
    <row r="21" spans="1:12" x14ac:dyDescent="0.3">
      <c r="L21" t="str">
        <f>_xlfn.XLOOKUP(B19,B17:B20,E17:E20)</f>
        <v>Trichy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5769cb3a Power BI</dc:creator>
  <cp:lastModifiedBy>5769cb3a Power BI</cp:lastModifiedBy>
  <dcterms:created xsi:type="dcterms:W3CDTF">2026-04-21T07:35:26Z</dcterms:created>
  <dcterms:modified xsi:type="dcterms:W3CDTF">2026-04-29T07:24:11Z</dcterms:modified>
</cp:coreProperties>
</file>