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1.xml" ContentType="application/vnd.openxmlformats-officedocument.spreadsheetml.pivot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priya Murugesan\Desktop\"/>
    </mc:Choice>
  </mc:AlternateContent>
  <xr:revisionPtr revIDLastSave="0" documentId="13_ncr:1_{ADA82E64-E077-49BB-9927-E15F20BD4528}" xr6:coauthVersionLast="47" xr6:coauthVersionMax="47" xr10:uidLastSave="{00000000-0000-0000-0000-000000000000}"/>
  <bookViews>
    <workbookView xWindow="11424" yWindow="0" windowWidth="11508" windowHeight="12336" firstSheet="9" activeTab="9" xr2:uid="{6EAEF7BE-BC46-46B6-8BB7-B0080013988F}"/>
  </bookViews>
  <sheets>
    <sheet name="Raw Data" sheetId="3" r:id="rId1"/>
    <sheet name="Convert Data into Table" sheetId="1" r:id="rId2"/>
    <sheet name="Text to Columns " sheetId="5" r:id="rId3"/>
    <sheet name="Flash Fill " sheetId="6" r:id="rId4"/>
    <sheet name="Remove Duplicates " sheetId="7" r:id="rId5"/>
    <sheet name="Sorting" sheetId="8" r:id="rId6"/>
    <sheet name="Data Sandardization  " sheetId="11" r:id="rId7"/>
    <sheet name="Analysis" sheetId="2" r:id="rId8"/>
    <sheet name="Region with Highest" sheetId="10" r:id="rId9"/>
    <sheet name="Performance classification" sheetId="9" r:id="rId10"/>
  </sheets>
  <calcPr calcId="191029"/>
  <pivotCaches>
    <pivotCache cacheId="3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9" l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E24" i="11"/>
  <c r="B24" i="11"/>
  <c r="E23" i="11"/>
  <c r="B23" i="11"/>
  <c r="E22" i="11"/>
  <c r="B22" i="11"/>
  <c r="E21" i="11"/>
  <c r="B21" i="11"/>
  <c r="E20" i="11"/>
  <c r="B20" i="11"/>
  <c r="E19" i="11"/>
  <c r="B19" i="11"/>
  <c r="E18" i="11"/>
  <c r="B18" i="11"/>
  <c r="E17" i="11"/>
  <c r="B17" i="11"/>
  <c r="E16" i="11"/>
  <c r="B16" i="11"/>
  <c r="E15" i="11"/>
  <c r="B15" i="11"/>
  <c r="E14" i="11"/>
  <c r="B14" i="11"/>
  <c r="E13" i="11"/>
  <c r="B13" i="11"/>
  <c r="E12" i="11"/>
  <c r="B12" i="11"/>
  <c r="E11" i="11"/>
  <c r="B11" i="11"/>
  <c r="E10" i="11"/>
  <c r="B10" i="11"/>
  <c r="E9" i="11"/>
  <c r="B9" i="11"/>
  <c r="E8" i="11"/>
  <c r="B8" i="11"/>
  <c r="E7" i="11"/>
  <c r="B7" i="11"/>
  <c r="E6" i="11"/>
  <c r="B6" i="11"/>
  <c r="E5" i="11"/>
  <c r="B5" i="11"/>
  <c r="E4" i="11"/>
  <c r="B4" i="11"/>
  <c r="E3" i="11"/>
  <c r="B3" i="11"/>
  <c r="E2" i="11"/>
  <c r="B2" i="11"/>
  <c r="B31" i="2"/>
  <c r="B30" i="2"/>
  <c r="B28" i="2"/>
  <c r="B27" i="2"/>
  <c r="E24" i="9"/>
  <c r="B24" i="9"/>
  <c r="E23" i="9"/>
  <c r="B23" i="9"/>
  <c r="E22" i="9"/>
  <c r="B22" i="9"/>
  <c r="E21" i="9"/>
  <c r="B21" i="9"/>
  <c r="E20" i="9"/>
  <c r="B20" i="9"/>
  <c r="E19" i="9"/>
  <c r="B19" i="9"/>
  <c r="E18" i="9"/>
  <c r="B18" i="9"/>
  <c r="E17" i="9"/>
  <c r="B17" i="9"/>
  <c r="E16" i="9"/>
  <c r="B16" i="9"/>
  <c r="E15" i="9"/>
  <c r="B15" i="9"/>
  <c r="E14" i="9"/>
  <c r="B14" i="9"/>
  <c r="E13" i="9"/>
  <c r="B13" i="9"/>
  <c r="E12" i="9"/>
  <c r="B12" i="9"/>
  <c r="E11" i="9"/>
  <c r="B11" i="9"/>
  <c r="E10" i="9"/>
  <c r="B10" i="9"/>
  <c r="E9" i="9"/>
  <c r="B9" i="9"/>
  <c r="E8" i="9"/>
  <c r="B8" i="9"/>
  <c r="E7" i="9"/>
  <c r="B7" i="9"/>
  <c r="E6" i="9"/>
  <c r="B6" i="9"/>
  <c r="E5" i="9"/>
  <c r="B5" i="9"/>
  <c r="E4" i="9"/>
  <c r="B4" i="9"/>
  <c r="E3" i="9"/>
  <c r="B3" i="9"/>
  <c r="E2" i="9"/>
  <c r="B2" i="9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</calcChain>
</file>

<file path=xl/sharedStrings.xml><?xml version="1.0" encoding="utf-8"?>
<sst xmlns="http://schemas.openxmlformats.org/spreadsheetml/2006/main" count="894" uniqueCount="108">
  <si>
    <t>Ali - India - 670 - 22-Apr-24</t>
  </si>
  <si>
    <t>Anjali - india - 460 - 12-Jul-24</t>
  </si>
  <si>
    <t>Arun - INDIA - 320 - 12-Jan-24</t>
  </si>
  <si>
    <t>David - US - 900 - 05-Apr-24</t>
  </si>
  <si>
    <t>Emma - UK - 610 - 15-Jun-24</t>
  </si>
  <si>
    <t>Fatima - UAE - 720 - 03-Mar-24</t>
  </si>
  <si>
    <t>John - US - 780 - 18-Aug-24</t>
  </si>
  <si>
    <t>Kiran - India - 470 - 09-Sep-24</t>
  </si>
  <si>
    <t>Liam - US - 870 - 25-Oct-24</t>
  </si>
  <si>
    <t>Mark - US - 850 - 30-Nov-24</t>
  </si>
  <si>
    <t>Meena - India - 450 - 14-Dec-24</t>
  </si>
  <si>
    <t>Mohan - India - 450 - 01-Jan-24</t>
  </si>
  <si>
    <t>Neha - India - 410 - 11-Feb-24</t>
  </si>
  <si>
    <t>Noah - US - 920 - 27-Mar-24</t>
  </si>
  <si>
    <t>Omar - UAE - 690 - 19-Apr-24</t>
  </si>
  <si>
    <t>Priya - India - 430 - 08-May-24</t>
  </si>
  <si>
    <t>Rahul - India - 510 - 21-Jun-24</t>
  </si>
  <si>
    <t>Ravi - India - 540 - 10-Jul-24</t>
  </si>
  <si>
    <t>Sara - UK - 620 - 29-Aug-24</t>
  </si>
  <si>
    <t>Sneha - India - 390 - 17-Sep-24</t>
  </si>
  <si>
    <t>Surya - India - 390 - 05-Oct-24</t>
  </si>
  <si>
    <t>Vikram - India - 580 - 12-Nov-24</t>
  </si>
  <si>
    <t>Sales_Report</t>
  </si>
  <si>
    <t xml:space="preserve">Ali </t>
  </si>
  <si>
    <t xml:space="preserve"> India 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</si>
  <si>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</si>
  <si>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</si>
  <si>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</si>
  <si>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</si>
  <si>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</si>
  <si>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</si>
  <si>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</si>
  <si>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</si>
  <si>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</si>
  <si>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</si>
  <si>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</si>
  <si>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</si>
  <si>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 xml:space="preserve">Anjali </t>
  </si>
  <si>
    <t xml:space="preserve"> india </t>
  </si>
  <si>
    <t xml:space="preserve">Arun </t>
  </si>
  <si>
    <t xml:space="preserve"> INDIA </t>
  </si>
  <si>
    <t xml:space="preserve">David </t>
  </si>
  <si>
    <t xml:space="preserve"> US </t>
  </si>
  <si>
    <t xml:space="preserve">Emma </t>
  </si>
  <si>
    <t xml:space="preserve"> UK </t>
  </si>
  <si>
    <t xml:space="preserve">Fatima </t>
  </si>
  <si>
    <t xml:space="preserve"> UAE </t>
  </si>
  <si>
    <t xml:space="preserve">John </t>
  </si>
  <si>
    <t xml:space="preserve">Kiran </t>
  </si>
  <si>
    <t xml:space="preserve">Liam </t>
  </si>
  <si>
    <t xml:space="preserve">Mark </t>
  </si>
  <si>
    <t xml:space="preserve">Meena </t>
  </si>
  <si>
    <t xml:space="preserve">Mohan </t>
  </si>
  <si>
    <t xml:space="preserve">Neha </t>
  </si>
  <si>
    <t xml:space="preserve">Noah </t>
  </si>
  <si>
    <t xml:space="preserve">Omar </t>
  </si>
  <si>
    <t xml:space="preserve">Priya </t>
  </si>
  <si>
    <t xml:space="preserve">Rahul </t>
  </si>
  <si>
    <t xml:space="preserve">Ravi </t>
  </si>
  <si>
    <t xml:space="preserve">Sara </t>
  </si>
  <si>
    <t xml:space="preserve">Sneha </t>
  </si>
  <si>
    <t xml:space="preserve">Surya </t>
  </si>
  <si>
    <t xml:space="preserve">Vikram </t>
  </si>
  <si>
    <t>Name</t>
  </si>
  <si>
    <t>Region</t>
  </si>
  <si>
    <t>Amount</t>
  </si>
  <si>
    <t>Date</t>
  </si>
  <si>
    <t>Month</t>
  </si>
  <si>
    <t>Year</t>
  </si>
  <si>
    <t>ALI</t>
  </si>
  <si>
    <t>ANJ</t>
  </si>
  <si>
    <t>ARU</t>
  </si>
  <si>
    <t>DAV</t>
  </si>
  <si>
    <t>EMM</t>
  </si>
  <si>
    <t>FAT</t>
  </si>
  <si>
    <t>JOH</t>
  </si>
  <si>
    <t>KIR</t>
  </si>
  <si>
    <t>LIA</t>
  </si>
  <si>
    <t>MAR</t>
  </si>
  <si>
    <t>MEE</t>
  </si>
  <si>
    <t>MOH</t>
  </si>
  <si>
    <t>NEH</t>
  </si>
  <si>
    <t>NOA</t>
  </si>
  <si>
    <t>OMA</t>
  </si>
  <si>
    <t>PRI</t>
  </si>
  <si>
    <t>RAH</t>
  </si>
  <si>
    <t>RAV</t>
  </si>
  <si>
    <t>SAR</t>
  </si>
  <si>
    <t>SNE</t>
  </si>
  <si>
    <t>SUR</t>
  </si>
  <si>
    <t>VIK</t>
  </si>
  <si>
    <t>Short name</t>
  </si>
  <si>
    <t>IN</t>
  </si>
  <si>
    <t>US</t>
  </si>
  <si>
    <t>UK</t>
  </si>
  <si>
    <t>AE</t>
  </si>
  <si>
    <t>Code</t>
  </si>
  <si>
    <t>Proper Name</t>
  </si>
  <si>
    <t>Region Clean</t>
  </si>
  <si>
    <t xml:space="preserve">Highest sales amount </t>
  </si>
  <si>
    <t>Lowest Sales Amount</t>
  </si>
  <si>
    <t>Row Labels</t>
  </si>
  <si>
    <t>Grand Total</t>
  </si>
  <si>
    <t>Count of Region</t>
  </si>
  <si>
    <t>Region with Highest Number of Sales</t>
  </si>
  <si>
    <t>Total Sales Amount</t>
  </si>
  <si>
    <t>Average Sales Amount</t>
  </si>
  <si>
    <t>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</si>
</sst>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</cellXfs>
  <cellStyles count="1">
    <cellStyle name="Normal" xfId="0" builtinId="0"/>
  </cellStyles>
  <dxfs count="13">
    <dxf>
      <numFmt numFmtId="164" formatCode="[$-F800]dddd\,\ mmmm\ dd\,\ 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apriya Murugesan" refreshedDate="46133.94820648148" createdVersion="8" refreshedVersion="8" minRefreshableVersion="3" recordCount="23" xr:uid="{35A19138-9F66-458F-B223-748A21CD9B86}">
  <cacheSource type="worksheet">
    <worksheetSource name="Table8"/>
  </cacheSource>
  <cacheFields count="10">
    <cacheField name="Name" numFmtId="0">
      <sharedItems/>
    </cacheField>
    <cacheField name="Proper Name" numFmtId="0">
      <sharedItems/>
    </cacheField>
    <cacheField name="Short name" numFmtId="0">
      <sharedItems/>
    </cacheField>
    <cacheField name="Region" numFmtId="0">
      <sharedItems count="4">
        <s v=" US "/>
        <s v=" UAE "/>
        <s v=" India "/>
        <s v=" UK "/>
      </sharedItems>
    </cacheField>
    <cacheField name="Region Clean" numFmtId="0">
      <sharedItems/>
    </cacheField>
    <cacheField name="Code" numFmtId="0">
      <sharedItems containsBlank="1"/>
    </cacheField>
    <cacheField name="Amount" numFmtId="0">
      <sharedItems containsSemiMixedTypes="0" containsString="0" containsNumber="1" containsInteger="1" minValue="320" maxValue="920"/>
    </cacheField>
    <cacheField name="Date" numFmtId="0">
      <sharedItems containsSemiMixedTypes="0" containsString="0" containsNumber="1" containsInteger="1" minValue="1" maxValue="30"/>
    </cacheField>
    <cacheField name="Month" numFmtId="0">
      <sharedItems/>
    </cacheField>
    <cacheField name="Year" numFmtId="0">
      <sharedItems containsSemiMixedTypes="0" containsString="0" containsNumber="1" containsInteger="1" minValue="24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s v="Noah "/>
    <s v="Noah "/>
    <s v="NOA"/>
    <x v="0"/>
    <s v=" US "/>
    <s v="US"/>
    <n v="920"/>
    <n v="27"/>
    <s v="Mar"/>
    <n v="24"/>
  </r>
  <r>
    <s v="David "/>
    <s v="David "/>
    <s v="DAV"/>
    <x v="0"/>
    <s v=" US "/>
    <s v="US"/>
    <n v="900"/>
    <n v="5"/>
    <s v="Apr"/>
    <n v="24"/>
  </r>
  <r>
    <s v="Liam "/>
    <s v="Liam "/>
    <s v="LIA"/>
    <x v="0"/>
    <s v=" US "/>
    <s v="US"/>
    <n v="870"/>
    <n v="25"/>
    <s v="Oct"/>
    <n v="24"/>
  </r>
  <r>
    <s v="Mark "/>
    <s v="Mark "/>
    <s v="MAR"/>
    <x v="0"/>
    <s v=" US "/>
    <s v="US"/>
    <n v="850"/>
    <n v="30"/>
    <s v="Nov"/>
    <n v="24"/>
  </r>
  <r>
    <s v="John "/>
    <s v="John "/>
    <s v="JOH"/>
    <x v="0"/>
    <s v=" US "/>
    <s v="US"/>
    <n v="780"/>
    <n v="18"/>
    <s v="Aug"/>
    <n v="24"/>
  </r>
  <r>
    <s v="Fatima "/>
    <s v="Fatima "/>
    <s v="FAT"/>
    <x v="1"/>
    <s v=" UAE "/>
    <s v="AE"/>
    <n v="720"/>
    <n v="3"/>
    <s v="Mar"/>
    <n v="24"/>
  </r>
  <r>
    <s v="Omar "/>
    <s v="Omar "/>
    <s v="OMA"/>
    <x v="1"/>
    <s v=" UAE "/>
    <s v="AE"/>
    <n v="690"/>
    <n v="19"/>
    <s v="Apr"/>
    <n v="24"/>
  </r>
  <r>
    <s v="Ali "/>
    <s v="Ali "/>
    <s v="ALI"/>
    <x v="2"/>
    <s v=" INDIA "/>
    <s v="IN"/>
    <n v="670"/>
    <n v="22"/>
    <s v="Apr"/>
    <n v="24"/>
  </r>
  <r>
    <s v="Sara "/>
    <s v="Sara "/>
    <s v="SAR"/>
    <x v="3"/>
    <s v=" UK "/>
    <s v="UK"/>
    <n v="620"/>
    <n v="29"/>
    <s v="Aug"/>
    <n v="24"/>
  </r>
  <r>
    <s v="Emma "/>
    <s v="Emma "/>
    <s v="EMM"/>
    <x v="3"/>
    <s v=" UK "/>
    <s v="UK"/>
    <n v="610"/>
    <n v="15"/>
    <s v="Jun"/>
    <n v="24"/>
  </r>
  <r>
    <s v="Emma "/>
    <s v="Emma "/>
    <s v="EMM"/>
    <x v="3"/>
    <s v=" UK "/>
    <m/>
    <n v="610"/>
    <n v="15"/>
    <s v="Jun"/>
    <n v="24"/>
  </r>
  <r>
    <s v="Vikram "/>
    <s v="Vikram "/>
    <s v="VIK"/>
    <x v="2"/>
    <s v=" INDIA "/>
    <s v="IN"/>
    <n v="580"/>
    <n v="12"/>
    <s v="Nov"/>
    <n v="24"/>
  </r>
  <r>
    <s v="Ravi "/>
    <s v="Ravi "/>
    <s v="RAV"/>
    <x v="2"/>
    <s v=" INDIA "/>
    <s v="IN"/>
    <n v="540"/>
    <n v="10"/>
    <s v="Jul"/>
    <n v="24"/>
  </r>
  <r>
    <s v="Rahul "/>
    <s v="Rahul "/>
    <s v="RAH"/>
    <x v="2"/>
    <s v=" INDIA "/>
    <s v="IN"/>
    <n v="510"/>
    <n v="21"/>
    <s v="Jun"/>
    <n v="24"/>
  </r>
  <r>
    <s v="Kiran "/>
    <s v="Kiran "/>
    <s v="KIR"/>
    <x v="2"/>
    <s v=" INDIA "/>
    <s v="IN"/>
    <n v="470"/>
    <n v="9"/>
    <s v="Sep"/>
    <n v="24"/>
  </r>
  <r>
    <s v="Anjali "/>
    <s v="Anjali "/>
    <s v="ANJ"/>
    <x v="2"/>
    <s v=" INDIA "/>
    <s v="IN"/>
    <n v="460"/>
    <n v="12"/>
    <s v="Jul"/>
    <n v="24"/>
  </r>
  <r>
    <s v="Meena "/>
    <s v="Meena "/>
    <s v="MEE"/>
    <x v="2"/>
    <s v=" INDIA "/>
    <s v="IN"/>
    <n v="450"/>
    <n v="14"/>
    <s v="Dec"/>
    <n v="24"/>
  </r>
  <r>
    <s v="Mohan "/>
    <s v="Mohan "/>
    <s v="MOH"/>
    <x v="2"/>
    <s v=" INDIA "/>
    <s v="IN"/>
    <n v="450"/>
    <n v="1"/>
    <s v="Jan"/>
    <n v="24"/>
  </r>
  <r>
    <s v="Priya "/>
    <s v="Priya "/>
    <s v="PRI"/>
    <x v="2"/>
    <s v=" INDIA "/>
    <s v="IN"/>
    <n v="430"/>
    <n v="8"/>
    <s v="May"/>
    <n v="24"/>
  </r>
  <r>
    <s v="Neha "/>
    <s v="Neha "/>
    <s v="NEH"/>
    <x v="2"/>
    <s v=" INDIA "/>
    <s v="IN"/>
    <n v="410"/>
    <n v="11"/>
    <s v="Feb"/>
    <n v="24"/>
  </r>
  <r>
    <s v="Sneha "/>
    <s v="Sneha "/>
    <s v="SNE"/>
    <x v="2"/>
    <s v=" INDIA "/>
    <s v="IN"/>
    <n v="390"/>
    <n v="17"/>
    <s v="Sep"/>
    <n v="24"/>
  </r>
  <r>
    <s v="Surya "/>
    <s v="Surya "/>
    <s v="SUR"/>
    <x v="2"/>
    <s v=" INDIA "/>
    <s v="IN"/>
    <n v="390"/>
    <n v="5"/>
    <s v="Oct"/>
    <n v="24"/>
  </r>
  <r>
    <s v="Arun "/>
    <s v="Arun "/>
    <s v="ARU"/>
    <x v="2"/>
    <s v=" INDIA "/>
    <s v="IN"/>
    <n v="320"/>
    <n v="12"/>
    <s v="Jan"/>
    <n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C27624-8DFE-402E-81FD-8271D4D9AF2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0">
    <pivotField showAll="0"/>
    <pivotField showAll="0"/>
    <pivotField showAll="0"/>
    <pivotField axis="axisRow" dataField="1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eg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164A4B-9ED3-49B8-A059-B0BD015F5D0B}" name="Table2" displayName="Table2" ref="A1:A26" totalsRowShown="0" headerRowDxfId="12" dataDxfId="10" headerRowBorderDxfId="11" tableBorderDxfId="9" totalsRowBorderDxfId="8">
  <tableColumns count="1">
    <tableColumn id="1" xr3:uid="{1299D990-4743-4966-82D9-D3A209874D97}" name="Sales_Report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A273A7A-C7CF-4B3C-8462-402196B053C9}" name="Table811" displayName="Table811" ref="A1:F26" totalsRowShown="0">
  <autoFilter ref="A1:F26" xr:uid="{C624D804-5DF2-4D2B-A848-09B8E1B49581}"/>
  <tableColumns count="6">
    <tableColumn id="1" xr3:uid="{90D579CB-F38B-4409-8C20-44968EE93879}" name="Name"/>
    <tableColumn id="2" xr3:uid="{A9C63130-1E98-4302-BD92-EE8C30CB178E}" name="Region"/>
    <tableColumn id="3" xr3:uid="{9E233A38-11E6-44DD-BB23-33A6C352BE17}" name="Amount"/>
    <tableColumn id="4" xr3:uid="{505B908D-A44A-4A77-9234-E115D902CDB0}" name="Date"/>
    <tableColumn id="5" xr3:uid="{D30DDFC7-5E28-4141-9957-3FC2463D4F56}" name="Month"/>
    <tableColumn id="6" xr3:uid="{0621A1DF-8E12-42B5-AC1F-B0BB4072D09B}" name="Yea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8561BEB-2C55-4173-80CD-27296D469BCF}" name="Table812" displayName="Table812" ref="A1:H26" totalsRowShown="0">
  <autoFilter ref="A1:H26" xr:uid="{C624D804-5DF2-4D2B-A848-09B8E1B49581}"/>
  <tableColumns count="8">
    <tableColumn id="1" xr3:uid="{7635F8BE-EFA3-436C-BA3B-2482EAE2699B}" name="Name"/>
    <tableColumn id="11" xr3:uid="{B4C50A05-9C48-4513-9D44-83FCE04A9878}" name="Short name"/>
    <tableColumn id="2" xr3:uid="{5AF051F3-1F8A-4684-9E2F-1D622F83894D}" name="Region"/>
    <tableColumn id="12" xr3:uid="{341ACE49-DF05-400C-B895-67FC1148FEFF}" name="Code"/>
    <tableColumn id="3" xr3:uid="{7F50765C-385F-4DEE-9E37-45B1C0457927}" name="Amount"/>
    <tableColumn id="4" xr3:uid="{4491ADC2-242B-4582-B2F4-F73CD0D97FF8}" name="Date"/>
    <tableColumn id="5" xr3:uid="{CA9340F0-8D28-4589-BD00-A45A1DEE23DB}" name="Month"/>
    <tableColumn id="6" xr3:uid="{57E4FE53-EAAF-4433-A6CF-7C99E856B501}" name="Yea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FFBE8CD-8219-4F11-8AA1-D825C91D1F03}" name="Table813" displayName="Table813" ref="A1:H24" totalsRowShown="0">
  <autoFilter ref="A1:H24" xr:uid="{C624D804-5DF2-4D2B-A848-09B8E1B49581}"/>
  <tableColumns count="8">
    <tableColumn id="1" xr3:uid="{BA1D1A9E-273C-4B7E-B11E-D5A0DD3F5D9D}" name="Name"/>
    <tableColumn id="11" xr3:uid="{51FF471C-8591-4B1C-B888-EA98EF423C58}" name="Short name"/>
    <tableColumn id="2" xr3:uid="{1FF37386-D96D-4D07-BCB2-DA9C20FCA860}" name="Region"/>
    <tableColumn id="12" xr3:uid="{DFD5A96E-DBB2-4128-A4E0-FA0637C43FB5}" name="Code"/>
    <tableColumn id="3" xr3:uid="{514124D9-1B8B-4EAB-8F03-44759A21DB0D}" name="Amount"/>
    <tableColumn id="4" xr3:uid="{942A47D1-0CBF-4D98-B2EC-F5CAC6695080}" name="Date"/>
    <tableColumn id="5" xr3:uid="{7ACABA43-2216-4BF2-BBCB-83ED08A87110}" name="Month"/>
    <tableColumn id="6" xr3:uid="{70073364-3D3F-4CFA-A5C6-C5569D5289CE}" name="Yea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34B2A0A-DA9A-403B-A6D6-D819D3308B91}" name="Table814" displayName="Table814" ref="A1:H24" totalsRowShown="0">
  <autoFilter ref="A1:H24" xr:uid="{C624D804-5DF2-4D2B-A848-09B8E1B49581}"/>
  <sortState xmlns:xlrd2="http://schemas.microsoft.com/office/spreadsheetml/2017/richdata2" ref="A2:H24">
    <sortCondition descending="1" ref="E2:E24"/>
    <sortCondition ref="C2:C24"/>
  </sortState>
  <tableColumns count="8">
    <tableColumn id="1" xr3:uid="{CAEEB2DF-9894-4EC0-BEEA-CDB1E950A80B}" name="Name"/>
    <tableColumn id="11" xr3:uid="{92B7EF15-57BF-4AC3-881D-629FF50A0F74}" name="Short name"/>
    <tableColumn id="2" xr3:uid="{F9DA7D2C-FB98-48A0-B231-BB8448322415}" name="Region"/>
    <tableColumn id="12" xr3:uid="{9610CA32-94A1-4303-A8F6-378E38113B05}" name="Code"/>
    <tableColumn id="3" xr3:uid="{A76528B2-24B6-45F4-A6F7-FB116B807EEA}" name="Amount"/>
    <tableColumn id="4" xr3:uid="{3513ED50-B107-40A6-A8AB-1CDCAE5026B1}" name="Date"/>
    <tableColumn id="5" xr3:uid="{BA96DED7-EA63-4ADC-93E4-733E226B4DC4}" name="Month"/>
    <tableColumn id="6" xr3:uid="{C7395C36-7099-43F9-A3D4-4B75695BDB1C}" name="Yea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29C530-832A-4BB8-A8D7-D1F026352990}" name="Table825" displayName="Table825" ref="A1:J24" totalsRowShown="0">
  <autoFilter ref="A1:J24" xr:uid="{C624D804-5DF2-4D2B-A848-09B8E1B49581}"/>
  <sortState xmlns:xlrd2="http://schemas.microsoft.com/office/spreadsheetml/2017/richdata2" ref="A2:J24">
    <sortCondition descending="1" ref="G2:G24"/>
    <sortCondition ref="D2:D24"/>
  </sortState>
  <tableColumns count="10">
    <tableColumn id="1" xr3:uid="{81556194-8F64-4E7C-A2D7-30C3FA70A1F0}" name="Name"/>
    <tableColumn id="13" xr3:uid="{8B8358CB-6BD4-4FEC-A349-7413AD93D5E6}" name="Proper Name" dataDxfId="2">
      <calculatedColumnFormula>PROPER(Table825[[#This Row],[Name]])</calculatedColumnFormula>
    </tableColumn>
    <tableColumn id="11" xr3:uid="{F7118776-321C-4E7E-BAD8-AA86ED6728B5}" name="Short name"/>
    <tableColumn id="2" xr3:uid="{75A76F05-26B9-4757-B060-4F0BE717F5F5}" name="Region"/>
    <tableColumn id="14" xr3:uid="{656886E7-1F48-4146-9751-077636E410BA}" name="Region Clean" dataDxfId="1">
      <calculatedColumnFormula>UPPER(Table825[[#This Row],[Region]])</calculatedColumnFormula>
    </tableColumn>
    <tableColumn id="12" xr3:uid="{1A5BF612-2017-4CC8-AC66-CDD22036B8CD}" name="Code"/>
    <tableColumn id="3" xr3:uid="{3C5A4D35-8454-4ED0-B8B1-3040EEE63D78}" name="Amount"/>
    <tableColumn id="4" xr3:uid="{1E1FFDD6-9564-47CF-8AFC-D9F85C3B5978}" name="Date"/>
    <tableColumn id="5" xr3:uid="{0CC5266D-79E5-4BAA-82DC-0DBFE60A64AA}" name="Month"/>
    <tableColumn id="6" xr3:uid="{7CF4A4D6-4F6F-4F34-9147-84E857E6E572}" name="Yea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624D804-5DF2-4D2B-A848-09B8E1B49581}" name="Table8" displayName="Table8" ref="A1:J24" totalsRowShown="0">
  <autoFilter ref="A1:J24" xr:uid="{C624D804-5DF2-4D2B-A848-09B8E1B49581}"/>
  <sortState xmlns:xlrd2="http://schemas.microsoft.com/office/spreadsheetml/2017/richdata2" ref="A2:J24">
    <sortCondition descending="1" ref="G2:G24"/>
    <sortCondition ref="D2:D24"/>
  </sortState>
  <tableColumns count="10">
    <tableColumn id="1" xr3:uid="{286A2848-97A0-4AC4-8E2D-D354832435B1}" name="Name"/>
    <tableColumn id="13" xr3:uid="{0980C4B8-9C43-4399-A56A-F09ADE7E6063}" name="Proper Name" dataDxfId="6">
      <calculatedColumnFormula>PROPER(Table8[[#This Row],[Name]])</calculatedColumnFormula>
    </tableColumn>
    <tableColumn id="11" xr3:uid="{E7EA7DF8-BFC8-4841-B822-F2422B3EA4BF}" name="Short name"/>
    <tableColumn id="2" xr3:uid="{A220F006-12EF-4B41-B99F-9D7E54DB928F}" name="Region"/>
    <tableColumn id="14" xr3:uid="{0625A6EC-AE6F-45DC-BCF9-54EE43F05CF9}" name="Region Clean" dataDxfId="5">
      <calculatedColumnFormula>UPPER(Table8[[#This Row],[Region]])</calculatedColumnFormula>
    </tableColumn>
    <tableColumn id="12" xr3:uid="{478C3FE8-5C69-4CAF-9410-4F6C099E1396}" name="Code"/>
    <tableColumn id="3" xr3:uid="{91221879-DCD1-470B-A612-ABE650AE2BF2}" name="Amount"/>
    <tableColumn id="4" xr3:uid="{35D724C1-CD47-4AE1-A851-E66D7163C90B}" name="Date"/>
    <tableColumn id="5" xr3:uid="{51F6DE66-5837-4C8D-BE33-09E1928D72F0}" name="Month"/>
    <tableColumn id="6" xr3:uid="{2E814831-13A7-459C-99A7-BF138D1BD1DF}" name="Yea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AC3BEF-9D8D-4561-B86B-AEE936D13C2E}" name="Table82" displayName="Table82" ref="A1:J24" totalsRowShown="0">
  <autoFilter ref="A1:J24" xr:uid="{C624D804-5DF2-4D2B-A848-09B8E1B49581}"/>
  <sortState xmlns:xlrd2="http://schemas.microsoft.com/office/spreadsheetml/2017/richdata2" ref="A2:J24">
    <sortCondition descending="1" ref="G2:G24"/>
    <sortCondition ref="D2:D24"/>
  </sortState>
  <tableColumns count="10">
    <tableColumn id="1" xr3:uid="{24284D84-10D8-4EC7-9835-C8044653561B}" name="Name"/>
    <tableColumn id="13" xr3:uid="{FCF6A24B-F19D-48E6-8EFA-42B53A4E9D47}" name="Proper Name" dataDxfId="4">
      <calculatedColumnFormula>PROPER(Table82[[#This Row],[Name]])</calculatedColumnFormula>
    </tableColumn>
    <tableColumn id="11" xr3:uid="{E1BC4B28-3A9A-4EEB-83AC-F5DB34110604}" name="Short name"/>
    <tableColumn id="2" xr3:uid="{B9519A4B-8F11-4B98-9F86-C0FDE006397E}" name="Region"/>
    <tableColumn id="14" xr3:uid="{9B194A16-7336-4940-BA2A-A535817819B6}" name="Region Clean" dataDxfId="3">
      <calculatedColumnFormula>UPPER(Table82[[#This Row],[Region]])</calculatedColumnFormula>
    </tableColumn>
    <tableColumn id="12" xr3:uid="{B062175F-CDC6-4C7F-8F20-F49F572A06F6}" name="Code"/>
    <tableColumn id="3" xr3:uid="{CB33CB1F-0A62-4B92-B97D-54397F2793F4}" name="Amount"/>
    <tableColumn id="4" xr3:uid="{ABEC2741-9365-4D61-9EB3-27BBCFF8CEF8}" name="Date"/>
    <tableColumn id="5" xr3:uid="{28BE49E0-FE7C-4C9A-B948-9A0BC8D7AEF9}" name="Month"/>
    <tableColumn id="6" xr3:uid="{E5E81229-DF46-4D51-A43C-182A89E66B1C}" name="Yea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FBFEEB-A93A-4C53-89FE-A845348646C7}" name="Table144" displayName="Table144" ref="K1:K25" totalsRowShown="0">
  <autoFilter ref="K1:K25" xr:uid="{2A011723-4811-4B02-8E5F-2436C4606604}"/>
  <tableColumns count="1">
    <tableColumn id="1" xr3:uid="{857B90E5-C4EF-4066-9BA1-74F2EBC954FB}" name="Performance" dataDxfId="0">
      <calculatedColumnFormula>IF(Table82[[#This Row],[Amount]]&gt;800,"Excellent",IF(Table82[[#This Row],[Amount]]&gt;=500,"Good","Needs Improvement"))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601CE-B6D0-4E23-8237-6499637BCC11}">
  <dimension ref="A2:A26"/>
  <sheetViews>
    <sheetView workbookViewId="0">
      <selection activeCell="F25" sqref="F25"/>
    </sheetView>
  </sheetViews>
  <sheetFormatPr defaultRowHeight="14.4" x14ac:dyDescent="0.3"/>
  <sheetData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0</v>
      </c>
    </row>
    <row r="25" spans="1:1" x14ac:dyDescent="0.3">
      <c r="A25" t="s">
        <v>3</v>
      </c>
    </row>
    <row r="26" spans="1:1" x14ac:dyDescent="0.3">
      <c r="A26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82212-AE11-438E-B9D3-8FE2134A1A26}">
  <dimension ref="A1:A26"/>
  <sheetViews>
    <sheetView topLeftCell="A6" workbookViewId="0">
      <selection activeCell="H26" sqref="H26"/>
    </sheetView>
  </sheetViews>
  <sheetFormatPr defaultRowHeight="14.4" x14ac:dyDescent="0.3"/>
  <cols>
    <col min="1" max="1" width="28.109375" customWidth="1"/>
  </cols>
  <sheetData>
    <row r="1" spans="1:1" ht="15" thickBot="1" x14ac:dyDescent="0.35">
      <c r="A1" s="2" t="s">
        <v>22</v>
      </c>
    </row>
    <row r="2" spans="1:1" ht="18" customHeight="1" thickBot="1" x14ac:dyDescent="0.35">
      <c r="A2" s="1" t="s">
        <v>0</v>
      </c>
    </row>
    <row r="3" spans="1:1" ht="13.8" customHeight="1" thickBot="1" x14ac:dyDescent="0.35">
      <c r="A3" s="1" t="s">
        <v>1</v>
      </c>
    </row>
    <row r="4" spans="1:1" ht="15" thickBot="1" x14ac:dyDescent="0.35">
      <c r="A4" s="1" t="s">
        <v>2</v>
      </c>
    </row>
    <row r="5" spans="1:1" ht="15" thickBot="1" x14ac:dyDescent="0.35">
      <c r="A5" s="1" t="s">
        <v>3</v>
      </c>
    </row>
    <row r="6" spans="1:1" ht="14.4" customHeight="1" thickBot="1" x14ac:dyDescent="0.35">
      <c r="A6" s="1" t="s">
        <v>4</v>
      </c>
    </row>
    <row r="7" spans="1:1" ht="15" thickBot="1" x14ac:dyDescent="0.35">
      <c r="A7" s="1" t="s">
        <v>5</v>
      </c>
    </row>
    <row r="8" spans="1:1" ht="15" thickBot="1" x14ac:dyDescent="0.35">
      <c r="A8" s="1" t="s">
        <v>6</v>
      </c>
    </row>
    <row r="9" spans="1:1" ht="15" thickBot="1" x14ac:dyDescent="0.35">
      <c r="A9" s="1" t="s">
        <v>7</v>
      </c>
    </row>
    <row r="10" spans="1:1" ht="15" thickBot="1" x14ac:dyDescent="0.35">
      <c r="A10" s="1" t="s">
        <v>8</v>
      </c>
    </row>
    <row r="11" spans="1:1" ht="19.2" customHeight="1" thickBot="1" x14ac:dyDescent="0.35">
      <c r="A11" s="1" t="s">
        <v>9</v>
      </c>
    </row>
    <row r="12" spans="1:1" ht="16.2" customHeight="1" thickBot="1" x14ac:dyDescent="0.35">
      <c r="A12" s="1" t="s">
        <v>10</v>
      </c>
    </row>
    <row r="13" spans="1:1" ht="13.2" customHeight="1" thickBot="1" x14ac:dyDescent="0.35">
      <c r="A13" s="1" t="s">
        <v>11</v>
      </c>
    </row>
    <row r="14" spans="1:1" ht="15" thickBot="1" x14ac:dyDescent="0.35">
      <c r="A14" s="1" t="s">
        <v>12</v>
      </c>
    </row>
    <row r="15" spans="1:1" ht="15" thickBot="1" x14ac:dyDescent="0.35">
      <c r="A15" s="1" t="s">
        <v>13</v>
      </c>
    </row>
    <row r="16" spans="1:1" ht="15" customHeight="1" thickBot="1" x14ac:dyDescent="0.35">
      <c r="A16" s="1" t="s">
        <v>14</v>
      </c>
    </row>
    <row r="17" spans="1:1" ht="15" thickBot="1" x14ac:dyDescent="0.35">
      <c r="A17" s="1" t="s">
        <v>15</v>
      </c>
    </row>
    <row r="18" spans="1:1" ht="15" thickBot="1" x14ac:dyDescent="0.35">
      <c r="A18" s="1" t="s">
        <v>16</v>
      </c>
    </row>
    <row r="19" spans="1:1" ht="17.399999999999999" customHeight="1" thickBot="1" x14ac:dyDescent="0.35">
      <c r="A19" s="1" t="s">
        <v>17</v>
      </c>
    </row>
    <row r="20" spans="1:1" ht="18" customHeight="1" thickBot="1" x14ac:dyDescent="0.35">
      <c r="A20" s="1" t="s">
        <v>18</v>
      </c>
    </row>
    <row r="21" spans="1:1" ht="16.2" customHeight="1" thickBot="1" x14ac:dyDescent="0.35">
      <c r="A21" s="1" t="s">
        <v>19</v>
      </c>
    </row>
    <row r="22" spans="1:1" ht="18" customHeight="1" thickBot="1" x14ac:dyDescent="0.35">
      <c r="A22" s="1" t="s">
        <v>20</v>
      </c>
    </row>
    <row r="23" spans="1:1" ht="15" thickBot="1" x14ac:dyDescent="0.35">
      <c r="A23" s="1" t="s">
        <v>21</v>
      </c>
    </row>
    <row r="24" spans="1:1" ht="18" customHeight="1" thickBot="1" x14ac:dyDescent="0.35">
      <c r="A24" s="1" t="s">
        <v>0</v>
      </c>
    </row>
    <row r="25" spans="1:1" ht="16.2" customHeight="1" thickBot="1" x14ac:dyDescent="0.35">
      <c r="A25" s="1" t="s">
        <v>3</v>
      </c>
    </row>
    <row r="26" spans="1:1" x14ac:dyDescent="0.3">
      <c r="A26" s="3" t="s">
        <v>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25085-47C4-48DC-84C6-A2828094C186}">
  <dimension ref="A1:F26"/>
  <sheetViews>
    <sheetView workbookViewId="0">
      <selection activeCell="G27" sqref="G27"/>
    </sheetView>
  </sheetViews>
  <sheetFormatPr defaultRowHeight="14.4" x14ac:dyDescent="0.3"/>
  <cols>
    <col min="1" max="1" width="27.109375" customWidth="1"/>
    <col min="2" max="2" width="8.88671875" customWidth="1"/>
    <col min="3" max="3" width="9.21875" customWidth="1"/>
  </cols>
  <sheetData>
    <row r="1" spans="1:6" x14ac:dyDescent="0.3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</row>
    <row r="2" spans="1:6" x14ac:dyDescent="0.3">
      <c r="A2" t="s">
        <v>23</v>
      </c>
      <c r="B2" t="s">
        <v>24</v>
      </c>
      <c r="C2">
        <v>670</v>
      </c>
      <c r="D2">
        <v>22</v>
      </c>
      <c r="E2" t="s">
        <v>25</v>
      </c>
      <c r="F2">
        <v>24</v>
      </c>
    </row>
    <row r="3" spans="1:6" x14ac:dyDescent="0.3">
      <c r="A3" t="s">
        <v>37</v>
      </c>
      <c r="B3" t="s">
        <v>38</v>
      </c>
      <c r="C3">
        <v>460</v>
      </c>
      <c r="D3">
        <v>12</v>
      </c>
      <c r="E3" t="s">
        <v>28</v>
      </c>
      <c r="F3">
        <v>24</v>
      </c>
    </row>
    <row r="4" spans="1:6" x14ac:dyDescent="0.3">
      <c r="A4" t="s">
        <v>39</v>
      </c>
      <c r="B4" t="s">
        <v>40</v>
      </c>
      <c r="C4">
        <v>320</v>
      </c>
      <c r="D4">
        <v>12</v>
      </c>
      <c r="E4" t="s">
        <v>34</v>
      </c>
      <c r="F4">
        <v>24</v>
      </c>
    </row>
    <row r="5" spans="1:6" x14ac:dyDescent="0.3">
      <c r="A5" t="s">
        <v>41</v>
      </c>
      <c r="B5" t="s">
        <v>42</v>
      </c>
      <c r="C5">
        <v>900</v>
      </c>
      <c r="D5">
        <v>5</v>
      </c>
      <c r="E5" t="s">
        <v>25</v>
      </c>
      <c r="F5">
        <v>24</v>
      </c>
    </row>
    <row r="6" spans="1:6" x14ac:dyDescent="0.3">
      <c r="A6" t="s">
        <v>43</v>
      </c>
      <c r="B6" t="s">
        <v>44</v>
      </c>
      <c r="C6">
        <v>610</v>
      </c>
      <c r="D6">
        <v>15</v>
      </c>
      <c r="E6" t="s">
        <v>27</v>
      </c>
      <c r="F6">
        <v>24</v>
      </c>
    </row>
    <row r="7" spans="1:6" x14ac:dyDescent="0.3">
      <c r="A7" t="s">
        <v>45</v>
      </c>
      <c r="B7" t="s">
        <v>46</v>
      </c>
      <c r="C7">
        <v>720</v>
      </c>
      <c r="D7">
        <v>3</v>
      </c>
      <c r="E7" t="s">
        <v>36</v>
      </c>
      <c r="F7">
        <v>24</v>
      </c>
    </row>
    <row r="8" spans="1:6" x14ac:dyDescent="0.3">
      <c r="A8" t="s">
        <v>47</v>
      </c>
      <c r="B8" t="s">
        <v>42</v>
      </c>
      <c r="C8">
        <v>780</v>
      </c>
      <c r="D8">
        <v>18</v>
      </c>
      <c r="E8" t="s">
        <v>29</v>
      </c>
      <c r="F8">
        <v>24</v>
      </c>
    </row>
    <row r="9" spans="1:6" x14ac:dyDescent="0.3">
      <c r="A9" t="s">
        <v>48</v>
      </c>
      <c r="B9" t="s">
        <v>24</v>
      </c>
      <c r="C9">
        <v>470</v>
      </c>
      <c r="D9">
        <v>9</v>
      </c>
      <c r="E9" t="s">
        <v>30</v>
      </c>
      <c r="F9">
        <v>24</v>
      </c>
    </row>
    <row r="10" spans="1:6" x14ac:dyDescent="0.3">
      <c r="A10" t="s">
        <v>49</v>
      </c>
      <c r="B10" t="s">
        <v>42</v>
      </c>
      <c r="C10">
        <v>870</v>
      </c>
      <c r="D10">
        <v>25</v>
      </c>
      <c r="E10" t="s">
        <v>31</v>
      </c>
      <c r="F10">
        <v>24</v>
      </c>
    </row>
    <row r="11" spans="1:6" x14ac:dyDescent="0.3">
      <c r="A11" t="s">
        <v>50</v>
      </c>
      <c r="B11" t="s">
        <v>42</v>
      </c>
      <c r="C11">
        <v>850</v>
      </c>
      <c r="D11">
        <v>30</v>
      </c>
      <c r="E11" t="s">
        <v>32</v>
      </c>
      <c r="F11">
        <v>24</v>
      </c>
    </row>
    <row r="12" spans="1:6" x14ac:dyDescent="0.3">
      <c r="A12" t="s">
        <v>51</v>
      </c>
      <c r="B12" t="s">
        <v>24</v>
      </c>
      <c r="C12">
        <v>450</v>
      </c>
      <c r="D12">
        <v>14</v>
      </c>
      <c r="E12" t="s">
        <v>33</v>
      </c>
      <c r="F12">
        <v>24</v>
      </c>
    </row>
    <row r="13" spans="1:6" x14ac:dyDescent="0.3">
      <c r="A13" t="s">
        <v>52</v>
      </c>
      <c r="B13" t="s">
        <v>24</v>
      </c>
      <c r="C13">
        <v>450</v>
      </c>
      <c r="D13">
        <v>1</v>
      </c>
      <c r="E13" t="s">
        <v>34</v>
      </c>
      <c r="F13">
        <v>24</v>
      </c>
    </row>
    <row r="14" spans="1:6" x14ac:dyDescent="0.3">
      <c r="A14" t="s">
        <v>53</v>
      </c>
      <c r="B14" t="s">
        <v>24</v>
      </c>
      <c r="C14">
        <v>410</v>
      </c>
      <c r="D14">
        <v>11</v>
      </c>
      <c r="E14" t="s">
        <v>35</v>
      </c>
      <c r="F14">
        <v>24</v>
      </c>
    </row>
    <row r="15" spans="1:6" x14ac:dyDescent="0.3">
      <c r="A15" t="s">
        <v>54</v>
      </c>
      <c r="B15" t="s">
        <v>42</v>
      </c>
      <c r="C15">
        <v>920</v>
      </c>
      <c r="D15">
        <v>27</v>
      </c>
      <c r="E15" t="s">
        <v>36</v>
      </c>
      <c r="F15">
        <v>24</v>
      </c>
    </row>
    <row r="16" spans="1:6" x14ac:dyDescent="0.3">
      <c r="A16" t="s">
        <v>55</v>
      </c>
      <c r="B16" t="s">
        <v>46</v>
      </c>
      <c r="C16">
        <v>690</v>
      </c>
      <c r="D16">
        <v>19</v>
      </c>
      <c r="E16" t="s">
        <v>25</v>
      </c>
      <c r="F16">
        <v>24</v>
      </c>
    </row>
    <row r="17" spans="1:6" x14ac:dyDescent="0.3">
      <c r="A17" t="s">
        <v>56</v>
      </c>
      <c r="B17" t="s">
        <v>24</v>
      </c>
      <c r="C17">
        <v>430</v>
      </c>
      <c r="D17">
        <v>8</v>
      </c>
      <c r="E17" t="s">
        <v>26</v>
      </c>
      <c r="F17">
        <v>24</v>
      </c>
    </row>
    <row r="18" spans="1:6" x14ac:dyDescent="0.3">
      <c r="A18" t="s">
        <v>57</v>
      </c>
      <c r="B18" t="s">
        <v>24</v>
      </c>
      <c r="C18">
        <v>510</v>
      </c>
      <c r="D18">
        <v>21</v>
      </c>
      <c r="E18" t="s">
        <v>27</v>
      </c>
      <c r="F18">
        <v>24</v>
      </c>
    </row>
    <row r="19" spans="1:6" x14ac:dyDescent="0.3">
      <c r="A19" t="s">
        <v>58</v>
      </c>
      <c r="B19" t="s">
        <v>24</v>
      </c>
      <c r="C19">
        <v>540</v>
      </c>
      <c r="D19">
        <v>10</v>
      </c>
      <c r="E19" t="s">
        <v>28</v>
      </c>
      <c r="F19">
        <v>24</v>
      </c>
    </row>
    <row r="20" spans="1:6" x14ac:dyDescent="0.3">
      <c r="A20" t="s">
        <v>59</v>
      </c>
      <c r="B20" t="s">
        <v>44</v>
      </c>
      <c r="C20">
        <v>620</v>
      </c>
      <c r="D20">
        <v>29</v>
      </c>
      <c r="E20" t="s">
        <v>29</v>
      </c>
      <c r="F20">
        <v>24</v>
      </c>
    </row>
    <row r="21" spans="1:6" x14ac:dyDescent="0.3">
      <c r="A21" t="s">
        <v>60</v>
      </c>
      <c r="B21" t="s">
        <v>24</v>
      </c>
      <c r="C21">
        <v>390</v>
      </c>
      <c r="D21">
        <v>17</v>
      </c>
      <c r="E21" t="s">
        <v>30</v>
      </c>
      <c r="F21">
        <v>24</v>
      </c>
    </row>
    <row r="22" spans="1:6" x14ac:dyDescent="0.3">
      <c r="A22" t="s">
        <v>61</v>
      </c>
      <c r="B22" t="s">
        <v>24</v>
      </c>
      <c r="C22">
        <v>390</v>
      </c>
      <c r="D22">
        <v>5</v>
      </c>
      <c r="E22" t="s">
        <v>31</v>
      </c>
      <c r="F22">
        <v>24</v>
      </c>
    </row>
    <row r="23" spans="1:6" x14ac:dyDescent="0.3">
      <c r="A23" t="s">
        <v>62</v>
      </c>
      <c r="B23" t="s">
        <v>24</v>
      </c>
      <c r="C23">
        <v>580</v>
      </c>
      <c r="D23">
        <v>12</v>
      </c>
      <c r="E23" t="s">
        <v>32</v>
      </c>
      <c r="F23">
        <v>24</v>
      </c>
    </row>
    <row r="24" spans="1:6" x14ac:dyDescent="0.3">
      <c r="A24" t="s">
        <v>23</v>
      </c>
      <c r="B24" t="s">
        <v>24</v>
      </c>
      <c r="C24">
        <v>670</v>
      </c>
      <c r="D24">
        <v>22</v>
      </c>
      <c r="E24" t="s">
        <v>25</v>
      </c>
      <c r="F24">
        <v>24</v>
      </c>
    </row>
    <row r="25" spans="1:6" x14ac:dyDescent="0.3">
      <c r="A25" t="s">
        <v>41</v>
      </c>
      <c r="B25" t="s">
        <v>42</v>
      </c>
      <c r="C25">
        <v>900</v>
      </c>
      <c r="D25">
        <v>5</v>
      </c>
      <c r="E25" t="s">
        <v>25</v>
      </c>
      <c r="F25">
        <v>24</v>
      </c>
    </row>
    <row r="26" spans="1:6" x14ac:dyDescent="0.3">
      <c r="A26" t="s">
        <v>43</v>
      </c>
      <c r="B26" t="s">
        <v>44</v>
      </c>
      <c r="C26">
        <v>610</v>
      </c>
      <c r="D26">
        <v>15</v>
      </c>
      <c r="E26" t="s">
        <v>27</v>
      </c>
      <c r="F26">
        <v>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D2265-F771-4BA1-B3EC-C6D6EE5E2A11}">
  <dimension ref="A1:H26"/>
  <sheetViews>
    <sheetView workbookViewId="0">
      <selection activeCell="J23" sqref="J23"/>
    </sheetView>
  </sheetViews>
  <sheetFormatPr defaultRowHeight="14.4" x14ac:dyDescent="0.3"/>
  <cols>
    <col min="1" max="1" width="27.109375" customWidth="1"/>
    <col min="2" max="2" width="8.88671875" customWidth="1"/>
    <col min="3" max="3" width="9.21875" customWidth="1"/>
  </cols>
  <sheetData>
    <row r="1" spans="1:8" x14ac:dyDescent="0.3">
      <c r="A1" t="s">
        <v>63</v>
      </c>
      <c r="B1" t="s">
        <v>91</v>
      </c>
      <c r="C1" t="s">
        <v>64</v>
      </c>
      <c r="D1" t="s">
        <v>96</v>
      </c>
      <c r="E1" t="s">
        <v>65</v>
      </c>
      <c r="F1" t="s">
        <v>66</v>
      </c>
      <c r="G1" t="s">
        <v>67</v>
      </c>
      <c r="H1" t="s">
        <v>68</v>
      </c>
    </row>
    <row r="2" spans="1:8" x14ac:dyDescent="0.3">
      <c r="A2" t="s">
        <v>23</v>
      </c>
      <c r="B2" t="s">
        <v>69</v>
      </c>
      <c r="C2" t="s">
        <v>24</v>
      </c>
      <c r="D2" t="s">
        <v>92</v>
      </c>
      <c r="E2">
        <v>670</v>
      </c>
      <c r="F2">
        <v>22</v>
      </c>
      <c r="G2" t="s">
        <v>25</v>
      </c>
      <c r="H2">
        <v>24</v>
      </c>
    </row>
    <row r="3" spans="1:8" x14ac:dyDescent="0.3">
      <c r="A3" t="s">
        <v>37</v>
      </c>
      <c r="B3" t="s">
        <v>70</v>
      </c>
      <c r="C3" t="s">
        <v>38</v>
      </c>
      <c r="D3" t="s">
        <v>92</v>
      </c>
      <c r="E3">
        <v>460</v>
      </c>
      <c r="F3">
        <v>12</v>
      </c>
      <c r="G3" t="s">
        <v>28</v>
      </c>
      <c r="H3">
        <v>24</v>
      </c>
    </row>
    <row r="4" spans="1:8" x14ac:dyDescent="0.3">
      <c r="A4" t="s">
        <v>39</v>
      </c>
      <c r="B4" t="s">
        <v>71</v>
      </c>
      <c r="C4" t="s">
        <v>40</v>
      </c>
      <c r="D4" t="s">
        <v>92</v>
      </c>
      <c r="E4">
        <v>320</v>
      </c>
      <c r="F4">
        <v>12</v>
      </c>
      <c r="G4" t="s">
        <v>34</v>
      </c>
      <c r="H4">
        <v>24</v>
      </c>
    </row>
    <row r="5" spans="1:8" x14ac:dyDescent="0.3">
      <c r="A5" t="s">
        <v>41</v>
      </c>
      <c r="B5" t="s">
        <v>72</v>
      </c>
      <c r="C5" t="s">
        <v>42</v>
      </c>
      <c r="D5" t="s">
        <v>93</v>
      </c>
      <c r="E5">
        <v>900</v>
      </c>
      <c r="F5">
        <v>5</v>
      </c>
      <c r="G5" t="s">
        <v>25</v>
      </c>
      <c r="H5">
        <v>24</v>
      </c>
    </row>
    <row r="6" spans="1:8" x14ac:dyDescent="0.3">
      <c r="A6" t="s">
        <v>43</v>
      </c>
      <c r="B6" t="s">
        <v>73</v>
      </c>
      <c r="C6" t="s">
        <v>44</v>
      </c>
      <c r="D6" t="s">
        <v>94</v>
      </c>
      <c r="E6">
        <v>610</v>
      </c>
      <c r="F6">
        <v>15</v>
      </c>
      <c r="G6" t="s">
        <v>27</v>
      </c>
      <c r="H6">
        <v>24</v>
      </c>
    </row>
    <row r="7" spans="1:8" x14ac:dyDescent="0.3">
      <c r="A7" t="s">
        <v>45</v>
      </c>
      <c r="B7" t="s">
        <v>74</v>
      </c>
      <c r="C7" t="s">
        <v>46</v>
      </c>
      <c r="D7" t="s">
        <v>95</v>
      </c>
      <c r="E7">
        <v>720</v>
      </c>
      <c r="F7">
        <v>3</v>
      </c>
      <c r="G7" t="s">
        <v>36</v>
      </c>
      <c r="H7">
        <v>24</v>
      </c>
    </row>
    <row r="8" spans="1:8" x14ac:dyDescent="0.3">
      <c r="A8" t="s">
        <v>47</v>
      </c>
      <c r="B8" t="s">
        <v>75</v>
      </c>
      <c r="C8" t="s">
        <v>42</v>
      </c>
      <c r="D8" t="s">
        <v>93</v>
      </c>
      <c r="E8">
        <v>780</v>
      </c>
      <c r="F8">
        <v>18</v>
      </c>
      <c r="G8" t="s">
        <v>29</v>
      </c>
      <c r="H8">
        <v>24</v>
      </c>
    </row>
    <row r="9" spans="1:8" x14ac:dyDescent="0.3">
      <c r="A9" t="s">
        <v>48</v>
      </c>
      <c r="B9" t="s">
        <v>76</v>
      </c>
      <c r="C9" t="s">
        <v>24</v>
      </c>
      <c r="D9" t="s">
        <v>92</v>
      </c>
      <c r="E9">
        <v>470</v>
      </c>
      <c r="F9">
        <v>9</v>
      </c>
      <c r="G9" t="s">
        <v>30</v>
      </c>
      <c r="H9">
        <v>24</v>
      </c>
    </row>
    <row r="10" spans="1:8" x14ac:dyDescent="0.3">
      <c r="A10" t="s">
        <v>49</v>
      </c>
      <c r="B10" t="s">
        <v>77</v>
      </c>
      <c r="C10" t="s">
        <v>42</v>
      </c>
      <c r="D10" t="s">
        <v>93</v>
      </c>
      <c r="E10">
        <v>870</v>
      </c>
      <c r="F10">
        <v>25</v>
      </c>
      <c r="G10" t="s">
        <v>31</v>
      </c>
      <c r="H10">
        <v>24</v>
      </c>
    </row>
    <row r="11" spans="1:8" x14ac:dyDescent="0.3">
      <c r="A11" t="s">
        <v>50</v>
      </c>
      <c r="B11" t="s">
        <v>78</v>
      </c>
      <c r="C11" t="s">
        <v>42</v>
      </c>
      <c r="D11" t="s">
        <v>93</v>
      </c>
      <c r="E11">
        <v>850</v>
      </c>
      <c r="F11">
        <v>30</v>
      </c>
      <c r="G11" t="s">
        <v>32</v>
      </c>
      <c r="H11">
        <v>24</v>
      </c>
    </row>
    <row r="12" spans="1:8" x14ac:dyDescent="0.3">
      <c r="A12" t="s">
        <v>51</v>
      </c>
      <c r="B12" t="s">
        <v>79</v>
      </c>
      <c r="C12" t="s">
        <v>24</v>
      </c>
      <c r="D12" t="s">
        <v>92</v>
      </c>
      <c r="E12">
        <v>450</v>
      </c>
      <c r="F12">
        <v>14</v>
      </c>
      <c r="G12" t="s">
        <v>33</v>
      </c>
      <c r="H12">
        <v>24</v>
      </c>
    </row>
    <row r="13" spans="1:8" x14ac:dyDescent="0.3">
      <c r="A13" t="s">
        <v>52</v>
      </c>
      <c r="B13" t="s">
        <v>80</v>
      </c>
      <c r="C13" t="s">
        <v>24</v>
      </c>
      <c r="D13" t="s">
        <v>92</v>
      </c>
      <c r="E13">
        <v>450</v>
      </c>
      <c r="F13">
        <v>1</v>
      </c>
      <c r="G13" t="s">
        <v>34</v>
      </c>
      <c r="H13">
        <v>24</v>
      </c>
    </row>
    <row r="14" spans="1:8" x14ac:dyDescent="0.3">
      <c r="A14" t="s">
        <v>53</v>
      </c>
      <c r="B14" t="s">
        <v>81</v>
      </c>
      <c r="C14" t="s">
        <v>24</v>
      </c>
      <c r="D14" t="s">
        <v>92</v>
      </c>
      <c r="E14">
        <v>410</v>
      </c>
      <c r="F14">
        <v>11</v>
      </c>
      <c r="G14" t="s">
        <v>35</v>
      </c>
      <c r="H14">
        <v>24</v>
      </c>
    </row>
    <row r="15" spans="1:8" x14ac:dyDescent="0.3">
      <c r="A15" t="s">
        <v>54</v>
      </c>
      <c r="B15" t="s">
        <v>82</v>
      </c>
      <c r="C15" t="s">
        <v>42</v>
      </c>
      <c r="D15" t="s">
        <v>93</v>
      </c>
      <c r="E15">
        <v>920</v>
      </c>
      <c r="F15">
        <v>27</v>
      </c>
      <c r="G15" t="s">
        <v>36</v>
      </c>
      <c r="H15">
        <v>24</v>
      </c>
    </row>
    <row r="16" spans="1:8" x14ac:dyDescent="0.3">
      <c r="A16" t="s">
        <v>55</v>
      </c>
      <c r="B16" t="s">
        <v>83</v>
      </c>
      <c r="C16" t="s">
        <v>46</v>
      </c>
      <c r="D16" t="s">
        <v>95</v>
      </c>
      <c r="E16">
        <v>690</v>
      </c>
      <c r="F16">
        <v>19</v>
      </c>
      <c r="G16" t="s">
        <v>25</v>
      </c>
      <c r="H16">
        <v>24</v>
      </c>
    </row>
    <row r="17" spans="1:8" x14ac:dyDescent="0.3">
      <c r="A17" t="s">
        <v>56</v>
      </c>
      <c r="B17" t="s">
        <v>84</v>
      </c>
      <c r="C17" t="s">
        <v>24</v>
      </c>
      <c r="D17" t="s">
        <v>92</v>
      </c>
      <c r="E17">
        <v>430</v>
      </c>
      <c r="F17">
        <v>8</v>
      </c>
      <c r="G17" t="s">
        <v>26</v>
      </c>
      <c r="H17">
        <v>24</v>
      </c>
    </row>
    <row r="18" spans="1:8" x14ac:dyDescent="0.3">
      <c r="A18" t="s">
        <v>57</v>
      </c>
      <c r="B18" t="s">
        <v>85</v>
      </c>
      <c r="C18" t="s">
        <v>24</v>
      </c>
      <c r="D18" t="s">
        <v>92</v>
      </c>
      <c r="E18">
        <v>510</v>
      </c>
      <c r="F18">
        <v>21</v>
      </c>
      <c r="G18" t="s">
        <v>27</v>
      </c>
      <c r="H18">
        <v>24</v>
      </c>
    </row>
    <row r="19" spans="1:8" x14ac:dyDescent="0.3">
      <c r="A19" t="s">
        <v>58</v>
      </c>
      <c r="B19" t="s">
        <v>86</v>
      </c>
      <c r="C19" t="s">
        <v>24</v>
      </c>
      <c r="D19" t="s">
        <v>92</v>
      </c>
      <c r="E19">
        <v>540</v>
      </c>
      <c r="F19">
        <v>10</v>
      </c>
      <c r="G19" t="s">
        <v>28</v>
      </c>
      <c r="H19">
        <v>24</v>
      </c>
    </row>
    <row r="20" spans="1:8" x14ac:dyDescent="0.3">
      <c r="A20" t="s">
        <v>59</v>
      </c>
      <c r="B20" t="s">
        <v>87</v>
      </c>
      <c r="C20" t="s">
        <v>44</v>
      </c>
      <c r="D20" t="s">
        <v>94</v>
      </c>
      <c r="E20">
        <v>620</v>
      </c>
      <c r="F20">
        <v>29</v>
      </c>
      <c r="G20" t="s">
        <v>29</v>
      </c>
      <c r="H20">
        <v>24</v>
      </c>
    </row>
    <row r="21" spans="1:8" x14ac:dyDescent="0.3">
      <c r="A21" t="s">
        <v>60</v>
      </c>
      <c r="B21" t="s">
        <v>88</v>
      </c>
      <c r="C21" t="s">
        <v>24</v>
      </c>
      <c r="D21" t="s">
        <v>92</v>
      </c>
      <c r="E21">
        <v>390</v>
      </c>
      <c r="F21">
        <v>17</v>
      </c>
      <c r="G21" t="s">
        <v>30</v>
      </c>
      <c r="H21">
        <v>24</v>
      </c>
    </row>
    <row r="22" spans="1:8" x14ac:dyDescent="0.3">
      <c r="A22" t="s">
        <v>61</v>
      </c>
      <c r="B22" t="s">
        <v>89</v>
      </c>
      <c r="C22" t="s">
        <v>24</v>
      </c>
      <c r="D22" t="s">
        <v>92</v>
      </c>
      <c r="E22">
        <v>390</v>
      </c>
      <c r="F22">
        <v>5</v>
      </c>
      <c r="G22" t="s">
        <v>31</v>
      </c>
      <c r="H22">
        <v>24</v>
      </c>
    </row>
    <row r="23" spans="1:8" x14ac:dyDescent="0.3">
      <c r="A23" t="s">
        <v>62</v>
      </c>
      <c r="B23" t="s">
        <v>90</v>
      </c>
      <c r="C23" t="s">
        <v>24</v>
      </c>
      <c r="D23" t="s">
        <v>92</v>
      </c>
      <c r="E23">
        <v>580</v>
      </c>
      <c r="F23">
        <v>12</v>
      </c>
      <c r="G23" t="s">
        <v>32</v>
      </c>
      <c r="H23">
        <v>24</v>
      </c>
    </row>
    <row r="24" spans="1:8" x14ac:dyDescent="0.3">
      <c r="A24" t="s">
        <v>23</v>
      </c>
      <c r="B24" t="s">
        <v>69</v>
      </c>
      <c r="C24" t="s">
        <v>24</v>
      </c>
      <c r="D24" t="s">
        <v>92</v>
      </c>
      <c r="E24">
        <v>670</v>
      </c>
      <c r="F24">
        <v>22</v>
      </c>
      <c r="G24" t="s">
        <v>25</v>
      </c>
      <c r="H24">
        <v>24</v>
      </c>
    </row>
    <row r="25" spans="1:8" x14ac:dyDescent="0.3">
      <c r="A25" t="s">
        <v>41</v>
      </c>
      <c r="B25" t="s">
        <v>72</v>
      </c>
      <c r="C25" t="s">
        <v>42</v>
      </c>
      <c r="D25" t="s">
        <v>93</v>
      </c>
      <c r="E25">
        <v>900</v>
      </c>
      <c r="F25">
        <v>5</v>
      </c>
      <c r="G25" t="s">
        <v>25</v>
      </c>
      <c r="H25">
        <v>24</v>
      </c>
    </row>
    <row r="26" spans="1:8" x14ac:dyDescent="0.3">
      <c r="A26" t="s">
        <v>43</v>
      </c>
      <c r="B26" t="s">
        <v>73</v>
      </c>
      <c r="C26" t="s">
        <v>44</v>
      </c>
      <c r="E26">
        <v>610</v>
      </c>
      <c r="F26">
        <v>15</v>
      </c>
      <c r="G26" t="s">
        <v>27</v>
      </c>
      <c r="H26">
        <v>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0153F-2127-4E0E-B5F6-BC99B408569E}">
  <dimension ref="A1:H24"/>
  <sheetViews>
    <sheetView workbookViewId="0">
      <selection activeCell="K21" sqref="K21"/>
    </sheetView>
  </sheetViews>
  <sheetFormatPr defaultRowHeight="14.4" x14ac:dyDescent="0.3"/>
  <cols>
    <col min="1" max="1" width="27.109375" customWidth="1"/>
    <col min="2" max="2" width="8.88671875" customWidth="1"/>
    <col min="3" max="3" width="9.21875" customWidth="1"/>
  </cols>
  <sheetData>
    <row r="1" spans="1:8" x14ac:dyDescent="0.3">
      <c r="A1" t="s">
        <v>63</v>
      </c>
      <c r="B1" t="s">
        <v>91</v>
      </c>
      <c r="C1" t="s">
        <v>64</v>
      </c>
      <c r="D1" t="s">
        <v>96</v>
      </c>
      <c r="E1" t="s">
        <v>65</v>
      </c>
      <c r="F1" t="s">
        <v>66</v>
      </c>
      <c r="G1" t="s">
        <v>67</v>
      </c>
      <c r="H1" t="s">
        <v>68</v>
      </c>
    </row>
    <row r="2" spans="1:8" x14ac:dyDescent="0.3">
      <c r="A2" t="s">
        <v>23</v>
      </c>
      <c r="B2" t="s">
        <v>69</v>
      </c>
      <c r="C2" t="s">
        <v>24</v>
      </c>
      <c r="D2" t="s">
        <v>92</v>
      </c>
      <c r="E2">
        <v>670</v>
      </c>
      <c r="F2">
        <v>22</v>
      </c>
      <c r="G2" t="s">
        <v>25</v>
      </c>
      <c r="H2">
        <v>24</v>
      </c>
    </row>
    <row r="3" spans="1:8" x14ac:dyDescent="0.3">
      <c r="A3" t="s">
        <v>37</v>
      </c>
      <c r="B3" t="s">
        <v>70</v>
      </c>
      <c r="C3" t="s">
        <v>38</v>
      </c>
      <c r="D3" t="s">
        <v>92</v>
      </c>
      <c r="E3">
        <v>460</v>
      </c>
      <c r="F3">
        <v>12</v>
      </c>
      <c r="G3" t="s">
        <v>28</v>
      </c>
      <c r="H3">
        <v>24</v>
      </c>
    </row>
    <row r="4" spans="1:8" x14ac:dyDescent="0.3">
      <c r="A4" t="s">
        <v>39</v>
      </c>
      <c r="B4" t="s">
        <v>71</v>
      </c>
      <c r="C4" t="s">
        <v>40</v>
      </c>
      <c r="D4" t="s">
        <v>92</v>
      </c>
      <c r="E4">
        <v>320</v>
      </c>
      <c r="F4">
        <v>12</v>
      </c>
      <c r="G4" t="s">
        <v>34</v>
      </c>
      <c r="H4">
        <v>24</v>
      </c>
    </row>
    <row r="5" spans="1:8" x14ac:dyDescent="0.3">
      <c r="A5" t="s">
        <v>41</v>
      </c>
      <c r="B5" t="s">
        <v>72</v>
      </c>
      <c r="C5" t="s">
        <v>42</v>
      </c>
      <c r="D5" t="s">
        <v>93</v>
      </c>
      <c r="E5">
        <v>900</v>
      </c>
      <c r="F5">
        <v>5</v>
      </c>
      <c r="G5" t="s">
        <v>25</v>
      </c>
      <c r="H5">
        <v>24</v>
      </c>
    </row>
    <row r="6" spans="1:8" x14ac:dyDescent="0.3">
      <c r="A6" t="s">
        <v>43</v>
      </c>
      <c r="B6" t="s">
        <v>73</v>
      </c>
      <c r="C6" t="s">
        <v>44</v>
      </c>
      <c r="D6" t="s">
        <v>94</v>
      </c>
      <c r="E6">
        <v>610</v>
      </c>
      <c r="F6">
        <v>15</v>
      </c>
      <c r="G6" t="s">
        <v>27</v>
      </c>
      <c r="H6">
        <v>24</v>
      </c>
    </row>
    <row r="7" spans="1:8" x14ac:dyDescent="0.3">
      <c r="A7" t="s">
        <v>45</v>
      </c>
      <c r="B7" t="s">
        <v>74</v>
      </c>
      <c r="C7" t="s">
        <v>46</v>
      </c>
      <c r="D7" t="s">
        <v>95</v>
      </c>
      <c r="E7">
        <v>720</v>
      </c>
      <c r="F7">
        <v>3</v>
      </c>
      <c r="G7" t="s">
        <v>36</v>
      </c>
      <c r="H7">
        <v>24</v>
      </c>
    </row>
    <row r="8" spans="1:8" x14ac:dyDescent="0.3">
      <c r="A8" t="s">
        <v>47</v>
      </c>
      <c r="B8" t="s">
        <v>75</v>
      </c>
      <c r="C8" t="s">
        <v>42</v>
      </c>
      <c r="D8" t="s">
        <v>93</v>
      </c>
      <c r="E8">
        <v>780</v>
      </c>
      <c r="F8">
        <v>18</v>
      </c>
      <c r="G8" t="s">
        <v>29</v>
      </c>
      <c r="H8">
        <v>24</v>
      </c>
    </row>
    <row r="9" spans="1:8" x14ac:dyDescent="0.3">
      <c r="A9" t="s">
        <v>48</v>
      </c>
      <c r="B9" t="s">
        <v>76</v>
      </c>
      <c r="C9" t="s">
        <v>24</v>
      </c>
      <c r="D9" t="s">
        <v>92</v>
      </c>
      <c r="E9">
        <v>470</v>
      </c>
      <c r="F9">
        <v>9</v>
      </c>
      <c r="G9" t="s">
        <v>30</v>
      </c>
      <c r="H9">
        <v>24</v>
      </c>
    </row>
    <row r="10" spans="1:8" x14ac:dyDescent="0.3">
      <c r="A10" t="s">
        <v>49</v>
      </c>
      <c r="B10" t="s">
        <v>77</v>
      </c>
      <c r="C10" t="s">
        <v>42</v>
      </c>
      <c r="D10" t="s">
        <v>93</v>
      </c>
      <c r="E10">
        <v>870</v>
      </c>
      <c r="F10">
        <v>25</v>
      </c>
      <c r="G10" t="s">
        <v>31</v>
      </c>
      <c r="H10">
        <v>24</v>
      </c>
    </row>
    <row r="11" spans="1:8" x14ac:dyDescent="0.3">
      <c r="A11" t="s">
        <v>50</v>
      </c>
      <c r="B11" t="s">
        <v>78</v>
      </c>
      <c r="C11" t="s">
        <v>42</v>
      </c>
      <c r="D11" t="s">
        <v>93</v>
      </c>
      <c r="E11">
        <v>850</v>
      </c>
      <c r="F11">
        <v>30</v>
      </c>
      <c r="G11" t="s">
        <v>32</v>
      </c>
      <c r="H11">
        <v>24</v>
      </c>
    </row>
    <row r="12" spans="1:8" x14ac:dyDescent="0.3">
      <c r="A12" t="s">
        <v>51</v>
      </c>
      <c r="B12" t="s">
        <v>79</v>
      </c>
      <c r="C12" t="s">
        <v>24</v>
      </c>
      <c r="D12" t="s">
        <v>92</v>
      </c>
      <c r="E12">
        <v>450</v>
      </c>
      <c r="F12">
        <v>14</v>
      </c>
      <c r="G12" t="s">
        <v>33</v>
      </c>
      <c r="H12">
        <v>24</v>
      </c>
    </row>
    <row r="13" spans="1:8" x14ac:dyDescent="0.3">
      <c r="A13" t="s">
        <v>52</v>
      </c>
      <c r="B13" t="s">
        <v>80</v>
      </c>
      <c r="C13" t="s">
        <v>24</v>
      </c>
      <c r="D13" t="s">
        <v>92</v>
      </c>
      <c r="E13">
        <v>450</v>
      </c>
      <c r="F13">
        <v>1</v>
      </c>
      <c r="G13" t="s">
        <v>34</v>
      </c>
      <c r="H13">
        <v>24</v>
      </c>
    </row>
    <row r="14" spans="1:8" x14ac:dyDescent="0.3">
      <c r="A14" t="s">
        <v>53</v>
      </c>
      <c r="B14" t="s">
        <v>81</v>
      </c>
      <c r="C14" t="s">
        <v>24</v>
      </c>
      <c r="D14" t="s">
        <v>92</v>
      </c>
      <c r="E14">
        <v>410</v>
      </c>
      <c r="F14">
        <v>11</v>
      </c>
      <c r="G14" t="s">
        <v>35</v>
      </c>
      <c r="H14">
        <v>24</v>
      </c>
    </row>
    <row r="15" spans="1:8" x14ac:dyDescent="0.3">
      <c r="A15" t="s">
        <v>54</v>
      </c>
      <c r="B15" t="s">
        <v>82</v>
      </c>
      <c r="C15" t="s">
        <v>42</v>
      </c>
      <c r="D15" t="s">
        <v>93</v>
      </c>
      <c r="E15">
        <v>920</v>
      </c>
      <c r="F15">
        <v>27</v>
      </c>
      <c r="G15" t="s">
        <v>36</v>
      </c>
      <c r="H15">
        <v>24</v>
      </c>
    </row>
    <row r="16" spans="1:8" x14ac:dyDescent="0.3">
      <c r="A16" t="s">
        <v>55</v>
      </c>
      <c r="B16" t="s">
        <v>83</v>
      </c>
      <c r="C16" t="s">
        <v>46</v>
      </c>
      <c r="D16" t="s">
        <v>95</v>
      </c>
      <c r="E16">
        <v>690</v>
      </c>
      <c r="F16">
        <v>19</v>
      </c>
      <c r="G16" t="s">
        <v>25</v>
      </c>
      <c r="H16">
        <v>24</v>
      </c>
    </row>
    <row r="17" spans="1:8" x14ac:dyDescent="0.3">
      <c r="A17" t="s">
        <v>56</v>
      </c>
      <c r="B17" t="s">
        <v>84</v>
      </c>
      <c r="C17" t="s">
        <v>24</v>
      </c>
      <c r="D17" t="s">
        <v>92</v>
      </c>
      <c r="E17">
        <v>430</v>
      </c>
      <c r="F17">
        <v>8</v>
      </c>
      <c r="G17" t="s">
        <v>26</v>
      </c>
      <c r="H17">
        <v>24</v>
      </c>
    </row>
    <row r="18" spans="1:8" x14ac:dyDescent="0.3">
      <c r="A18" t="s">
        <v>57</v>
      </c>
      <c r="B18" t="s">
        <v>85</v>
      </c>
      <c r="C18" t="s">
        <v>24</v>
      </c>
      <c r="D18" t="s">
        <v>92</v>
      </c>
      <c r="E18">
        <v>510</v>
      </c>
      <c r="F18">
        <v>21</v>
      </c>
      <c r="G18" t="s">
        <v>27</v>
      </c>
      <c r="H18">
        <v>24</v>
      </c>
    </row>
    <row r="19" spans="1:8" x14ac:dyDescent="0.3">
      <c r="A19" t="s">
        <v>58</v>
      </c>
      <c r="B19" t="s">
        <v>86</v>
      </c>
      <c r="C19" t="s">
        <v>24</v>
      </c>
      <c r="D19" t="s">
        <v>92</v>
      </c>
      <c r="E19">
        <v>540</v>
      </c>
      <c r="F19">
        <v>10</v>
      </c>
      <c r="G19" t="s">
        <v>28</v>
      </c>
      <c r="H19">
        <v>24</v>
      </c>
    </row>
    <row r="20" spans="1:8" x14ac:dyDescent="0.3">
      <c r="A20" t="s">
        <v>59</v>
      </c>
      <c r="B20" t="s">
        <v>87</v>
      </c>
      <c r="C20" t="s">
        <v>44</v>
      </c>
      <c r="D20" t="s">
        <v>94</v>
      </c>
      <c r="E20">
        <v>620</v>
      </c>
      <c r="F20">
        <v>29</v>
      </c>
      <c r="G20" t="s">
        <v>29</v>
      </c>
      <c r="H20">
        <v>24</v>
      </c>
    </row>
    <row r="21" spans="1:8" x14ac:dyDescent="0.3">
      <c r="A21" t="s">
        <v>60</v>
      </c>
      <c r="B21" t="s">
        <v>88</v>
      </c>
      <c r="C21" t="s">
        <v>24</v>
      </c>
      <c r="D21" t="s">
        <v>92</v>
      </c>
      <c r="E21">
        <v>390</v>
      </c>
      <c r="F21">
        <v>17</v>
      </c>
      <c r="G21" t="s">
        <v>30</v>
      </c>
      <c r="H21">
        <v>24</v>
      </c>
    </row>
    <row r="22" spans="1:8" x14ac:dyDescent="0.3">
      <c r="A22" t="s">
        <v>61</v>
      </c>
      <c r="B22" t="s">
        <v>89</v>
      </c>
      <c r="C22" t="s">
        <v>24</v>
      </c>
      <c r="D22" t="s">
        <v>92</v>
      </c>
      <c r="E22">
        <v>390</v>
      </c>
      <c r="F22">
        <v>5</v>
      </c>
      <c r="G22" t="s">
        <v>31</v>
      </c>
      <c r="H22">
        <v>24</v>
      </c>
    </row>
    <row r="23" spans="1:8" x14ac:dyDescent="0.3">
      <c r="A23" t="s">
        <v>62</v>
      </c>
      <c r="B23" t="s">
        <v>90</v>
      </c>
      <c r="C23" t="s">
        <v>24</v>
      </c>
      <c r="D23" t="s">
        <v>92</v>
      </c>
      <c r="E23">
        <v>580</v>
      </c>
      <c r="F23">
        <v>12</v>
      </c>
      <c r="G23" t="s">
        <v>32</v>
      </c>
      <c r="H23">
        <v>24</v>
      </c>
    </row>
    <row r="24" spans="1:8" x14ac:dyDescent="0.3">
      <c r="A24" t="s">
        <v>43</v>
      </c>
      <c r="B24" t="s">
        <v>73</v>
      </c>
      <c r="C24" t="s">
        <v>44</v>
      </c>
      <c r="E24">
        <v>610</v>
      </c>
      <c r="F24">
        <v>15</v>
      </c>
      <c r="G24" t="s">
        <v>27</v>
      </c>
      <c r="H24">
        <v>24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FCBA3-F611-4F94-9ECD-C7B083C5DFFA}">
  <dimension ref="A1:H24"/>
  <sheetViews>
    <sheetView workbookViewId="0">
      <selection activeCell="M15" sqref="M15"/>
    </sheetView>
  </sheetViews>
  <sheetFormatPr defaultRowHeight="14.4" x14ac:dyDescent="0.3"/>
  <cols>
    <col min="1" max="1" width="27.109375" customWidth="1"/>
    <col min="2" max="2" width="8.88671875" customWidth="1"/>
    <col min="3" max="3" width="9.21875" customWidth="1"/>
  </cols>
  <sheetData>
    <row r="1" spans="1:8" x14ac:dyDescent="0.3">
      <c r="A1" t="s">
        <v>63</v>
      </c>
      <c r="B1" t="s">
        <v>91</v>
      </c>
      <c r="C1" t="s">
        <v>64</v>
      </c>
      <c r="D1" t="s">
        <v>96</v>
      </c>
      <c r="E1" t="s">
        <v>65</v>
      </c>
      <c r="F1" t="s">
        <v>66</v>
      </c>
      <c r="G1" t="s">
        <v>67</v>
      </c>
      <c r="H1" t="s">
        <v>68</v>
      </c>
    </row>
    <row r="2" spans="1:8" x14ac:dyDescent="0.3">
      <c r="A2" t="s">
        <v>54</v>
      </c>
      <c r="B2" t="s">
        <v>82</v>
      </c>
      <c r="C2" t="s">
        <v>42</v>
      </c>
      <c r="D2" t="s">
        <v>93</v>
      </c>
      <c r="E2">
        <v>920</v>
      </c>
      <c r="F2">
        <v>27</v>
      </c>
      <c r="G2" t="s">
        <v>36</v>
      </c>
      <c r="H2">
        <v>24</v>
      </c>
    </row>
    <row r="3" spans="1:8" x14ac:dyDescent="0.3">
      <c r="A3" t="s">
        <v>41</v>
      </c>
      <c r="B3" t="s">
        <v>72</v>
      </c>
      <c r="C3" t="s">
        <v>42</v>
      </c>
      <c r="D3" t="s">
        <v>93</v>
      </c>
      <c r="E3">
        <v>900</v>
      </c>
      <c r="F3">
        <v>5</v>
      </c>
      <c r="G3" t="s">
        <v>25</v>
      </c>
      <c r="H3">
        <v>24</v>
      </c>
    </row>
    <row r="4" spans="1:8" x14ac:dyDescent="0.3">
      <c r="A4" t="s">
        <v>49</v>
      </c>
      <c r="B4" t="s">
        <v>77</v>
      </c>
      <c r="C4" t="s">
        <v>42</v>
      </c>
      <c r="D4" t="s">
        <v>93</v>
      </c>
      <c r="E4">
        <v>870</v>
      </c>
      <c r="F4">
        <v>25</v>
      </c>
      <c r="G4" t="s">
        <v>31</v>
      </c>
      <c r="H4">
        <v>24</v>
      </c>
    </row>
    <row r="5" spans="1:8" x14ac:dyDescent="0.3">
      <c r="A5" t="s">
        <v>50</v>
      </c>
      <c r="B5" t="s">
        <v>78</v>
      </c>
      <c r="C5" t="s">
        <v>42</v>
      </c>
      <c r="D5" t="s">
        <v>93</v>
      </c>
      <c r="E5">
        <v>850</v>
      </c>
      <c r="F5">
        <v>30</v>
      </c>
      <c r="G5" t="s">
        <v>32</v>
      </c>
      <c r="H5">
        <v>24</v>
      </c>
    </row>
    <row r="6" spans="1:8" x14ac:dyDescent="0.3">
      <c r="A6" t="s">
        <v>47</v>
      </c>
      <c r="B6" t="s">
        <v>75</v>
      </c>
      <c r="C6" t="s">
        <v>42</v>
      </c>
      <c r="D6" t="s">
        <v>93</v>
      </c>
      <c r="E6">
        <v>780</v>
      </c>
      <c r="F6">
        <v>18</v>
      </c>
      <c r="G6" t="s">
        <v>29</v>
      </c>
      <c r="H6">
        <v>24</v>
      </c>
    </row>
    <row r="7" spans="1:8" x14ac:dyDescent="0.3">
      <c r="A7" t="s">
        <v>45</v>
      </c>
      <c r="B7" t="s">
        <v>74</v>
      </c>
      <c r="C7" t="s">
        <v>46</v>
      </c>
      <c r="D7" t="s">
        <v>95</v>
      </c>
      <c r="E7">
        <v>720</v>
      </c>
      <c r="F7">
        <v>3</v>
      </c>
      <c r="G7" t="s">
        <v>36</v>
      </c>
      <c r="H7">
        <v>24</v>
      </c>
    </row>
    <row r="8" spans="1:8" x14ac:dyDescent="0.3">
      <c r="A8" t="s">
        <v>55</v>
      </c>
      <c r="B8" t="s">
        <v>83</v>
      </c>
      <c r="C8" t="s">
        <v>46</v>
      </c>
      <c r="D8" t="s">
        <v>95</v>
      </c>
      <c r="E8">
        <v>690</v>
      </c>
      <c r="F8">
        <v>19</v>
      </c>
      <c r="G8" t="s">
        <v>25</v>
      </c>
      <c r="H8">
        <v>24</v>
      </c>
    </row>
    <row r="9" spans="1:8" x14ac:dyDescent="0.3">
      <c r="A9" t="s">
        <v>23</v>
      </c>
      <c r="B9" t="s">
        <v>69</v>
      </c>
      <c r="C9" t="s">
        <v>24</v>
      </c>
      <c r="D9" t="s">
        <v>92</v>
      </c>
      <c r="E9">
        <v>670</v>
      </c>
      <c r="F9">
        <v>22</v>
      </c>
      <c r="G9" t="s">
        <v>25</v>
      </c>
      <c r="H9">
        <v>24</v>
      </c>
    </row>
    <row r="10" spans="1:8" x14ac:dyDescent="0.3">
      <c r="A10" t="s">
        <v>59</v>
      </c>
      <c r="B10" t="s">
        <v>87</v>
      </c>
      <c r="C10" t="s">
        <v>44</v>
      </c>
      <c r="D10" t="s">
        <v>94</v>
      </c>
      <c r="E10">
        <v>620</v>
      </c>
      <c r="F10">
        <v>29</v>
      </c>
      <c r="G10" t="s">
        <v>29</v>
      </c>
      <c r="H10">
        <v>24</v>
      </c>
    </row>
    <row r="11" spans="1:8" x14ac:dyDescent="0.3">
      <c r="A11" t="s">
        <v>43</v>
      </c>
      <c r="B11" t="s">
        <v>73</v>
      </c>
      <c r="C11" t="s">
        <v>44</v>
      </c>
      <c r="D11" t="s">
        <v>94</v>
      </c>
      <c r="E11">
        <v>610</v>
      </c>
      <c r="F11">
        <v>15</v>
      </c>
      <c r="G11" t="s">
        <v>27</v>
      </c>
      <c r="H11">
        <v>24</v>
      </c>
    </row>
    <row r="12" spans="1:8" x14ac:dyDescent="0.3">
      <c r="A12" t="s">
        <v>43</v>
      </c>
      <c r="B12" t="s">
        <v>73</v>
      </c>
      <c r="C12" t="s">
        <v>44</v>
      </c>
      <c r="D12" t="s">
        <v>94</v>
      </c>
      <c r="E12">
        <v>610</v>
      </c>
      <c r="F12">
        <v>15</v>
      </c>
      <c r="G12" t="s">
        <v>27</v>
      </c>
      <c r="H12">
        <v>24</v>
      </c>
    </row>
    <row r="13" spans="1:8" x14ac:dyDescent="0.3">
      <c r="A13" t="s">
        <v>62</v>
      </c>
      <c r="B13" t="s">
        <v>90</v>
      </c>
      <c r="C13" t="s">
        <v>24</v>
      </c>
      <c r="D13" t="s">
        <v>92</v>
      </c>
      <c r="E13">
        <v>580</v>
      </c>
      <c r="F13">
        <v>12</v>
      </c>
      <c r="G13" t="s">
        <v>32</v>
      </c>
      <c r="H13">
        <v>24</v>
      </c>
    </row>
    <row r="14" spans="1:8" x14ac:dyDescent="0.3">
      <c r="A14" t="s">
        <v>58</v>
      </c>
      <c r="B14" t="s">
        <v>86</v>
      </c>
      <c r="C14" t="s">
        <v>24</v>
      </c>
      <c r="D14" t="s">
        <v>92</v>
      </c>
      <c r="E14">
        <v>540</v>
      </c>
      <c r="F14">
        <v>10</v>
      </c>
      <c r="G14" t="s">
        <v>28</v>
      </c>
      <c r="H14">
        <v>24</v>
      </c>
    </row>
    <row r="15" spans="1:8" x14ac:dyDescent="0.3">
      <c r="A15" t="s">
        <v>57</v>
      </c>
      <c r="B15" t="s">
        <v>85</v>
      </c>
      <c r="C15" t="s">
        <v>24</v>
      </c>
      <c r="D15" t="s">
        <v>92</v>
      </c>
      <c r="E15">
        <v>510</v>
      </c>
      <c r="F15">
        <v>21</v>
      </c>
      <c r="G15" t="s">
        <v>27</v>
      </c>
      <c r="H15">
        <v>24</v>
      </c>
    </row>
    <row r="16" spans="1:8" x14ac:dyDescent="0.3">
      <c r="A16" t="s">
        <v>48</v>
      </c>
      <c r="B16" t="s">
        <v>76</v>
      </c>
      <c r="C16" t="s">
        <v>24</v>
      </c>
      <c r="D16" t="s">
        <v>92</v>
      </c>
      <c r="E16">
        <v>470</v>
      </c>
      <c r="F16">
        <v>9</v>
      </c>
      <c r="G16" t="s">
        <v>30</v>
      </c>
      <c r="H16">
        <v>24</v>
      </c>
    </row>
    <row r="17" spans="1:8" x14ac:dyDescent="0.3">
      <c r="A17" t="s">
        <v>37</v>
      </c>
      <c r="B17" t="s">
        <v>70</v>
      </c>
      <c r="C17" t="s">
        <v>38</v>
      </c>
      <c r="D17" t="s">
        <v>92</v>
      </c>
      <c r="E17">
        <v>460</v>
      </c>
      <c r="F17">
        <v>12</v>
      </c>
      <c r="G17" t="s">
        <v>28</v>
      </c>
      <c r="H17">
        <v>24</v>
      </c>
    </row>
    <row r="18" spans="1:8" x14ac:dyDescent="0.3">
      <c r="A18" t="s">
        <v>51</v>
      </c>
      <c r="B18" t="s">
        <v>79</v>
      </c>
      <c r="C18" t="s">
        <v>24</v>
      </c>
      <c r="D18" t="s">
        <v>92</v>
      </c>
      <c r="E18">
        <v>450</v>
      </c>
      <c r="F18">
        <v>14</v>
      </c>
      <c r="G18" t="s">
        <v>33</v>
      </c>
      <c r="H18">
        <v>24</v>
      </c>
    </row>
    <row r="19" spans="1:8" x14ac:dyDescent="0.3">
      <c r="A19" t="s">
        <v>52</v>
      </c>
      <c r="B19" t="s">
        <v>80</v>
      </c>
      <c r="C19" t="s">
        <v>24</v>
      </c>
      <c r="D19" t="s">
        <v>92</v>
      </c>
      <c r="E19">
        <v>450</v>
      </c>
      <c r="F19">
        <v>1</v>
      </c>
      <c r="G19" t="s">
        <v>34</v>
      </c>
      <c r="H19">
        <v>24</v>
      </c>
    </row>
    <row r="20" spans="1:8" x14ac:dyDescent="0.3">
      <c r="A20" t="s">
        <v>56</v>
      </c>
      <c r="B20" t="s">
        <v>84</v>
      </c>
      <c r="C20" t="s">
        <v>24</v>
      </c>
      <c r="D20" t="s">
        <v>92</v>
      </c>
      <c r="E20">
        <v>430</v>
      </c>
      <c r="F20">
        <v>8</v>
      </c>
      <c r="G20" t="s">
        <v>26</v>
      </c>
      <c r="H20">
        <v>24</v>
      </c>
    </row>
    <row r="21" spans="1:8" x14ac:dyDescent="0.3">
      <c r="A21" t="s">
        <v>53</v>
      </c>
      <c r="B21" t="s">
        <v>81</v>
      </c>
      <c r="C21" t="s">
        <v>24</v>
      </c>
      <c r="D21" t="s">
        <v>92</v>
      </c>
      <c r="E21">
        <v>410</v>
      </c>
      <c r="F21">
        <v>11</v>
      </c>
      <c r="G21" t="s">
        <v>35</v>
      </c>
      <c r="H21">
        <v>24</v>
      </c>
    </row>
    <row r="22" spans="1:8" x14ac:dyDescent="0.3">
      <c r="A22" t="s">
        <v>60</v>
      </c>
      <c r="B22" t="s">
        <v>88</v>
      </c>
      <c r="C22" t="s">
        <v>24</v>
      </c>
      <c r="D22" t="s">
        <v>92</v>
      </c>
      <c r="E22">
        <v>390</v>
      </c>
      <c r="F22">
        <v>17</v>
      </c>
      <c r="G22" t="s">
        <v>30</v>
      </c>
      <c r="H22">
        <v>24</v>
      </c>
    </row>
    <row r="23" spans="1:8" x14ac:dyDescent="0.3">
      <c r="A23" t="s">
        <v>61</v>
      </c>
      <c r="B23" t="s">
        <v>89</v>
      </c>
      <c r="C23" t="s">
        <v>24</v>
      </c>
      <c r="D23" t="s">
        <v>92</v>
      </c>
      <c r="E23">
        <v>390</v>
      </c>
      <c r="F23">
        <v>5</v>
      </c>
      <c r="G23" t="s">
        <v>31</v>
      </c>
      <c r="H23">
        <v>24</v>
      </c>
    </row>
    <row r="24" spans="1:8" x14ac:dyDescent="0.3">
      <c r="A24" t="s">
        <v>39</v>
      </c>
      <c r="B24" t="s">
        <v>71</v>
      </c>
      <c r="C24" t="s">
        <v>40</v>
      </c>
      <c r="D24" t="s">
        <v>92</v>
      </c>
      <c r="E24">
        <v>320</v>
      </c>
      <c r="F24">
        <v>12</v>
      </c>
      <c r="G24" t="s">
        <v>34</v>
      </c>
      <c r="H24">
        <v>24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CE17-2D95-48CA-ADE2-84D2B75A4DEA}">
  <dimension ref="A1:K24"/>
  <sheetViews>
    <sheetView zoomScale="67" workbookViewId="0">
      <selection activeCell="N20" sqref="N20"/>
    </sheetView>
  </sheetViews>
  <sheetFormatPr defaultRowHeight="14.4" x14ac:dyDescent="0.3"/>
  <cols>
    <col min="1" max="1" width="27.109375" customWidth="1"/>
    <col min="2" max="2" width="8.88671875" customWidth="1"/>
    <col min="3" max="3" width="9.21875" customWidth="1"/>
    <col min="11" max="11" width="10.44140625" customWidth="1"/>
  </cols>
  <sheetData>
    <row r="1" spans="1:11" x14ac:dyDescent="0.3">
      <c r="A1" t="s">
        <v>63</v>
      </c>
      <c r="B1" t="s">
        <v>97</v>
      </c>
      <c r="C1" t="s">
        <v>91</v>
      </c>
      <c r="D1" t="s">
        <v>64</v>
      </c>
      <c r="E1" t="s">
        <v>98</v>
      </c>
      <c r="F1" t="s">
        <v>96</v>
      </c>
      <c r="G1" t="s">
        <v>65</v>
      </c>
      <c r="H1" t="s">
        <v>66</v>
      </c>
      <c r="I1" t="s">
        <v>67</v>
      </c>
      <c r="J1" t="s">
        <v>68</v>
      </c>
    </row>
    <row r="2" spans="1:11" x14ac:dyDescent="0.3">
      <c r="A2" t="s">
        <v>54</v>
      </c>
      <c r="B2" t="str">
        <f>PROPER(Table825[[#This Row],[Name]])</f>
        <v xml:space="preserve">Noah </v>
      </c>
      <c r="C2" t="s">
        <v>82</v>
      </c>
      <c r="D2" t="s">
        <v>42</v>
      </c>
      <c r="E2" t="str">
        <f>UPPER(Table825[[#This Row],[Region]])</f>
        <v xml:space="preserve"> US </v>
      </c>
      <c r="F2" t="s">
        <v>93</v>
      </c>
      <c r="G2">
        <v>920</v>
      </c>
      <c r="H2">
        <v>27</v>
      </c>
      <c r="I2" t="s">
        <v>36</v>
      </c>
      <c r="J2">
        <v>24</v>
      </c>
      <c r="K2" s="4"/>
    </row>
    <row r="3" spans="1:11" x14ac:dyDescent="0.3">
      <c r="A3" t="s">
        <v>41</v>
      </c>
      <c r="B3" t="str">
        <f>PROPER(Table825[[#This Row],[Name]])</f>
        <v xml:space="preserve">David </v>
      </c>
      <c r="C3" t="s">
        <v>72</v>
      </c>
      <c r="D3" t="s">
        <v>42</v>
      </c>
      <c r="E3" t="str">
        <f>UPPER(Table825[[#This Row],[Region]])</f>
        <v xml:space="preserve"> US </v>
      </c>
      <c r="F3" t="s">
        <v>93</v>
      </c>
      <c r="G3">
        <v>900</v>
      </c>
      <c r="H3">
        <v>5</v>
      </c>
      <c r="I3" t="s">
        <v>25</v>
      </c>
      <c r="J3">
        <v>24</v>
      </c>
    </row>
    <row r="4" spans="1:11" x14ac:dyDescent="0.3">
      <c r="A4" t="s">
        <v>49</v>
      </c>
      <c r="B4" t="str">
        <f>PROPER(Table825[[#This Row],[Name]])</f>
        <v xml:space="preserve">Liam </v>
      </c>
      <c r="C4" t="s">
        <v>77</v>
      </c>
      <c r="D4" t="s">
        <v>42</v>
      </c>
      <c r="E4" t="str">
        <f>UPPER(Table825[[#This Row],[Region]])</f>
        <v xml:space="preserve"> US </v>
      </c>
      <c r="F4" t="s">
        <v>93</v>
      </c>
      <c r="G4">
        <v>870</v>
      </c>
      <c r="H4">
        <v>25</v>
      </c>
      <c r="I4" t="s">
        <v>31</v>
      </c>
      <c r="J4">
        <v>24</v>
      </c>
    </row>
    <row r="5" spans="1:11" x14ac:dyDescent="0.3">
      <c r="A5" t="s">
        <v>50</v>
      </c>
      <c r="B5" t="str">
        <f>PROPER(Table825[[#This Row],[Name]])</f>
        <v xml:space="preserve">Mark </v>
      </c>
      <c r="C5" t="s">
        <v>78</v>
      </c>
      <c r="D5" t="s">
        <v>42</v>
      </c>
      <c r="E5" t="str">
        <f>UPPER(Table825[[#This Row],[Region]])</f>
        <v xml:space="preserve"> US </v>
      </c>
      <c r="F5" t="s">
        <v>93</v>
      </c>
      <c r="G5">
        <v>850</v>
      </c>
      <c r="H5">
        <v>30</v>
      </c>
      <c r="I5" t="s">
        <v>32</v>
      </c>
      <c r="J5">
        <v>24</v>
      </c>
    </row>
    <row r="6" spans="1:11" x14ac:dyDescent="0.3">
      <c r="A6" t="s">
        <v>47</v>
      </c>
      <c r="B6" t="str">
        <f>PROPER(Table825[[#This Row],[Name]])</f>
        <v xml:space="preserve">John </v>
      </c>
      <c r="C6" t="s">
        <v>75</v>
      </c>
      <c r="D6" t="s">
        <v>42</v>
      </c>
      <c r="E6" t="str">
        <f>UPPER(Table825[[#This Row],[Region]])</f>
        <v xml:space="preserve"> US </v>
      </c>
      <c r="F6" t="s">
        <v>93</v>
      </c>
      <c r="G6">
        <v>780</v>
      </c>
      <c r="H6">
        <v>18</v>
      </c>
      <c r="I6" t="s">
        <v>29</v>
      </c>
      <c r="J6">
        <v>24</v>
      </c>
    </row>
    <row r="7" spans="1:11" x14ac:dyDescent="0.3">
      <c r="A7" t="s">
        <v>45</v>
      </c>
      <c r="B7" t="str">
        <f>PROPER(Table825[[#This Row],[Name]])</f>
        <v xml:space="preserve">Fatima </v>
      </c>
      <c r="C7" t="s">
        <v>74</v>
      </c>
      <c r="D7" t="s">
        <v>46</v>
      </c>
      <c r="E7" t="str">
        <f>UPPER(Table825[[#This Row],[Region]])</f>
        <v xml:space="preserve"> UAE </v>
      </c>
      <c r="F7" t="s">
        <v>95</v>
      </c>
      <c r="G7">
        <v>720</v>
      </c>
      <c r="H7">
        <v>3</v>
      </c>
      <c r="I7" t="s">
        <v>36</v>
      </c>
      <c r="J7">
        <v>24</v>
      </c>
    </row>
    <row r="8" spans="1:11" x14ac:dyDescent="0.3">
      <c r="A8" t="s">
        <v>55</v>
      </c>
      <c r="B8" t="str">
        <f>PROPER(Table825[[#This Row],[Name]])</f>
        <v xml:space="preserve">Omar </v>
      </c>
      <c r="C8" t="s">
        <v>83</v>
      </c>
      <c r="D8" t="s">
        <v>46</v>
      </c>
      <c r="E8" t="str">
        <f>UPPER(Table825[[#This Row],[Region]])</f>
        <v xml:space="preserve"> UAE </v>
      </c>
      <c r="F8" t="s">
        <v>95</v>
      </c>
      <c r="G8">
        <v>690</v>
      </c>
      <c r="H8">
        <v>19</v>
      </c>
      <c r="I8" t="s">
        <v>25</v>
      </c>
      <c r="J8">
        <v>24</v>
      </c>
    </row>
    <row r="9" spans="1:11" x14ac:dyDescent="0.3">
      <c r="A9" t="s">
        <v>23</v>
      </c>
      <c r="B9" t="str">
        <f>PROPER(Table825[[#This Row],[Name]])</f>
        <v xml:space="preserve">Ali </v>
      </c>
      <c r="C9" t="s">
        <v>69</v>
      </c>
      <c r="D9" t="s">
        <v>24</v>
      </c>
      <c r="E9" t="str">
        <f>UPPER(Table825[[#This Row],[Region]])</f>
        <v xml:space="preserve"> INDIA </v>
      </c>
      <c r="F9" t="s">
        <v>92</v>
      </c>
      <c r="G9">
        <v>670</v>
      </c>
      <c r="H9">
        <v>22</v>
      </c>
      <c r="I9" t="s">
        <v>25</v>
      </c>
      <c r="J9">
        <v>24</v>
      </c>
    </row>
    <row r="10" spans="1:11" x14ac:dyDescent="0.3">
      <c r="A10" t="s">
        <v>59</v>
      </c>
      <c r="B10" t="str">
        <f>PROPER(Table825[[#This Row],[Name]])</f>
        <v xml:space="preserve">Sara </v>
      </c>
      <c r="C10" t="s">
        <v>87</v>
      </c>
      <c r="D10" t="s">
        <v>44</v>
      </c>
      <c r="E10" t="str">
        <f>UPPER(Table825[[#This Row],[Region]])</f>
        <v xml:space="preserve"> UK </v>
      </c>
      <c r="F10" t="s">
        <v>94</v>
      </c>
      <c r="G10">
        <v>620</v>
      </c>
      <c r="H10">
        <v>29</v>
      </c>
      <c r="I10" t="s">
        <v>29</v>
      </c>
      <c r="J10">
        <v>24</v>
      </c>
    </row>
    <row r="11" spans="1:11" x14ac:dyDescent="0.3">
      <c r="A11" t="s">
        <v>43</v>
      </c>
      <c r="B11" t="str">
        <f>PROPER(Table825[[#This Row],[Name]])</f>
        <v xml:space="preserve">Emma </v>
      </c>
      <c r="C11" t="s">
        <v>73</v>
      </c>
      <c r="D11" t="s">
        <v>44</v>
      </c>
      <c r="E11" t="str">
        <f>UPPER(Table825[[#This Row],[Region]])</f>
        <v xml:space="preserve"> UK </v>
      </c>
      <c r="F11" t="s">
        <v>94</v>
      </c>
      <c r="G11">
        <v>610</v>
      </c>
      <c r="H11">
        <v>15</v>
      </c>
      <c r="I11" t="s">
        <v>27</v>
      </c>
      <c r="J11">
        <v>24</v>
      </c>
    </row>
    <row r="12" spans="1:11" x14ac:dyDescent="0.3">
      <c r="A12" t="s">
        <v>43</v>
      </c>
      <c r="B12" t="str">
        <f>PROPER(Table825[[#This Row],[Name]])</f>
        <v xml:space="preserve">Emma </v>
      </c>
      <c r="C12" t="s">
        <v>73</v>
      </c>
      <c r="D12" t="s">
        <v>44</v>
      </c>
      <c r="E12" t="str">
        <f>UPPER(Table825[[#This Row],[Region]])</f>
        <v xml:space="preserve"> UK </v>
      </c>
      <c r="G12">
        <v>610</v>
      </c>
      <c r="H12">
        <v>15</v>
      </c>
      <c r="I12" t="s">
        <v>27</v>
      </c>
      <c r="J12">
        <v>24</v>
      </c>
    </row>
    <row r="13" spans="1:11" x14ac:dyDescent="0.3">
      <c r="A13" t="s">
        <v>62</v>
      </c>
      <c r="B13" t="str">
        <f>PROPER(Table825[[#This Row],[Name]])</f>
        <v xml:space="preserve">Vikram </v>
      </c>
      <c r="C13" t="s">
        <v>90</v>
      </c>
      <c r="D13" t="s">
        <v>24</v>
      </c>
      <c r="E13" t="str">
        <f>UPPER(Table825[[#This Row],[Region]])</f>
        <v xml:space="preserve"> INDIA </v>
      </c>
      <c r="F13" t="s">
        <v>92</v>
      </c>
      <c r="G13">
        <v>580</v>
      </c>
      <c r="H13">
        <v>12</v>
      </c>
      <c r="I13" t="s">
        <v>32</v>
      </c>
      <c r="J13">
        <v>24</v>
      </c>
    </row>
    <row r="14" spans="1:11" x14ac:dyDescent="0.3">
      <c r="A14" t="s">
        <v>58</v>
      </c>
      <c r="B14" t="str">
        <f>PROPER(Table825[[#This Row],[Name]])</f>
        <v xml:space="preserve">Ravi </v>
      </c>
      <c r="C14" t="s">
        <v>86</v>
      </c>
      <c r="D14" t="s">
        <v>24</v>
      </c>
      <c r="E14" t="str">
        <f>UPPER(Table825[[#This Row],[Region]])</f>
        <v xml:space="preserve"> INDIA </v>
      </c>
      <c r="F14" t="s">
        <v>92</v>
      </c>
      <c r="G14">
        <v>540</v>
      </c>
      <c r="H14">
        <v>10</v>
      </c>
      <c r="I14" t="s">
        <v>28</v>
      </c>
      <c r="J14">
        <v>24</v>
      </c>
    </row>
    <row r="15" spans="1:11" x14ac:dyDescent="0.3">
      <c r="A15" t="s">
        <v>57</v>
      </c>
      <c r="B15" t="str">
        <f>PROPER(Table825[[#This Row],[Name]])</f>
        <v xml:space="preserve">Rahul </v>
      </c>
      <c r="C15" t="s">
        <v>85</v>
      </c>
      <c r="D15" t="s">
        <v>24</v>
      </c>
      <c r="E15" t="str">
        <f>UPPER(Table825[[#This Row],[Region]])</f>
        <v xml:space="preserve"> INDIA </v>
      </c>
      <c r="F15" t="s">
        <v>92</v>
      </c>
      <c r="G15">
        <v>510</v>
      </c>
      <c r="H15">
        <v>21</v>
      </c>
      <c r="I15" t="s">
        <v>27</v>
      </c>
      <c r="J15">
        <v>24</v>
      </c>
    </row>
    <row r="16" spans="1:11" x14ac:dyDescent="0.3">
      <c r="A16" t="s">
        <v>48</v>
      </c>
      <c r="B16" t="str">
        <f>PROPER(Table825[[#This Row],[Name]])</f>
        <v xml:space="preserve">Kiran </v>
      </c>
      <c r="C16" t="s">
        <v>76</v>
      </c>
      <c r="D16" t="s">
        <v>24</v>
      </c>
      <c r="E16" t="str">
        <f>UPPER(Table825[[#This Row],[Region]])</f>
        <v xml:space="preserve"> INDIA </v>
      </c>
      <c r="F16" t="s">
        <v>92</v>
      </c>
      <c r="G16">
        <v>470</v>
      </c>
      <c r="H16">
        <v>9</v>
      </c>
      <c r="I16" t="s">
        <v>30</v>
      </c>
      <c r="J16">
        <v>24</v>
      </c>
    </row>
    <row r="17" spans="1:10" x14ac:dyDescent="0.3">
      <c r="A17" t="s">
        <v>37</v>
      </c>
      <c r="B17" t="str">
        <f>PROPER(Table825[[#This Row],[Name]])</f>
        <v xml:space="preserve">Anjali </v>
      </c>
      <c r="C17" t="s">
        <v>70</v>
      </c>
      <c r="D17" t="s">
        <v>38</v>
      </c>
      <c r="E17" t="str">
        <f>UPPER(Table825[[#This Row],[Region]])</f>
        <v xml:space="preserve"> INDIA </v>
      </c>
      <c r="F17" t="s">
        <v>92</v>
      </c>
      <c r="G17">
        <v>460</v>
      </c>
      <c r="H17">
        <v>12</v>
      </c>
      <c r="I17" t="s">
        <v>28</v>
      </c>
      <c r="J17">
        <v>24</v>
      </c>
    </row>
    <row r="18" spans="1:10" x14ac:dyDescent="0.3">
      <c r="A18" t="s">
        <v>51</v>
      </c>
      <c r="B18" t="str">
        <f>PROPER(Table825[[#This Row],[Name]])</f>
        <v xml:space="preserve">Meena </v>
      </c>
      <c r="C18" t="s">
        <v>79</v>
      </c>
      <c r="D18" t="s">
        <v>24</v>
      </c>
      <c r="E18" t="str">
        <f>UPPER(Table825[[#This Row],[Region]])</f>
        <v xml:space="preserve"> INDIA </v>
      </c>
      <c r="F18" t="s">
        <v>92</v>
      </c>
      <c r="G18">
        <v>450</v>
      </c>
      <c r="H18">
        <v>14</v>
      </c>
      <c r="I18" t="s">
        <v>33</v>
      </c>
      <c r="J18">
        <v>24</v>
      </c>
    </row>
    <row r="19" spans="1:10" x14ac:dyDescent="0.3">
      <c r="A19" t="s">
        <v>52</v>
      </c>
      <c r="B19" t="str">
        <f>PROPER(Table825[[#This Row],[Name]])</f>
        <v xml:space="preserve">Mohan </v>
      </c>
      <c r="C19" t="s">
        <v>80</v>
      </c>
      <c r="D19" t="s">
        <v>24</v>
      </c>
      <c r="E19" t="str">
        <f>UPPER(Table825[[#This Row],[Region]])</f>
        <v xml:space="preserve"> INDIA </v>
      </c>
      <c r="F19" t="s">
        <v>92</v>
      </c>
      <c r="G19">
        <v>450</v>
      </c>
      <c r="H19">
        <v>1</v>
      </c>
      <c r="I19" t="s">
        <v>34</v>
      </c>
      <c r="J19">
        <v>24</v>
      </c>
    </row>
    <row r="20" spans="1:10" x14ac:dyDescent="0.3">
      <c r="A20" t="s">
        <v>56</v>
      </c>
      <c r="B20" t="str">
        <f>PROPER(Table825[[#This Row],[Name]])</f>
        <v xml:space="preserve">Priya </v>
      </c>
      <c r="C20" t="s">
        <v>84</v>
      </c>
      <c r="D20" t="s">
        <v>24</v>
      </c>
      <c r="E20" t="str">
        <f>UPPER(Table825[[#This Row],[Region]])</f>
        <v xml:space="preserve"> INDIA </v>
      </c>
      <c r="F20" t="s">
        <v>92</v>
      </c>
      <c r="G20">
        <v>430</v>
      </c>
      <c r="H20">
        <v>8</v>
      </c>
      <c r="I20" t="s">
        <v>26</v>
      </c>
      <c r="J20">
        <v>24</v>
      </c>
    </row>
    <row r="21" spans="1:10" x14ac:dyDescent="0.3">
      <c r="A21" t="s">
        <v>53</v>
      </c>
      <c r="B21" t="str">
        <f>PROPER(Table825[[#This Row],[Name]])</f>
        <v xml:space="preserve">Neha </v>
      </c>
      <c r="C21" t="s">
        <v>81</v>
      </c>
      <c r="D21" t="s">
        <v>24</v>
      </c>
      <c r="E21" t="str">
        <f>UPPER(Table825[[#This Row],[Region]])</f>
        <v xml:space="preserve"> INDIA </v>
      </c>
      <c r="F21" t="s">
        <v>92</v>
      </c>
      <c r="G21">
        <v>410</v>
      </c>
      <c r="H21">
        <v>11</v>
      </c>
      <c r="I21" t="s">
        <v>35</v>
      </c>
      <c r="J21">
        <v>24</v>
      </c>
    </row>
    <row r="22" spans="1:10" x14ac:dyDescent="0.3">
      <c r="A22" t="s">
        <v>60</v>
      </c>
      <c r="B22" t="str">
        <f>PROPER(Table825[[#This Row],[Name]])</f>
        <v xml:space="preserve">Sneha </v>
      </c>
      <c r="C22" t="s">
        <v>88</v>
      </c>
      <c r="D22" t="s">
        <v>24</v>
      </c>
      <c r="E22" t="str">
        <f>UPPER(Table825[[#This Row],[Region]])</f>
        <v xml:space="preserve"> INDIA </v>
      </c>
      <c r="F22" t="s">
        <v>92</v>
      </c>
      <c r="G22">
        <v>390</v>
      </c>
      <c r="H22">
        <v>17</v>
      </c>
      <c r="I22" t="s">
        <v>30</v>
      </c>
      <c r="J22">
        <v>24</v>
      </c>
    </row>
    <row r="23" spans="1:10" x14ac:dyDescent="0.3">
      <c r="A23" t="s">
        <v>61</v>
      </c>
      <c r="B23" t="str">
        <f>PROPER(Table825[[#This Row],[Name]])</f>
        <v xml:space="preserve">Surya </v>
      </c>
      <c r="C23" t="s">
        <v>89</v>
      </c>
      <c r="D23" t="s">
        <v>24</v>
      </c>
      <c r="E23" t="str">
        <f>UPPER(Table825[[#This Row],[Region]])</f>
        <v xml:space="preserve"> INDIA </v>
      </c>
      <c r="F23" t="s">
        <v>92</v>
      </c>
      <c r="G23">
        <v>390</v>
      </c>
      <c r="H23">
        <v>5</v>
      </c>
      <c r="I23" t="s">
        <v>31</v>
      </c>
      <c r="J23">
        <v>24</v>
      </c>
    </row>
    <row r="24" spans="1:10" x14ac:dyDescent="0.3">
      <c r="A24" t="s">
        <v>39</v>
      </c>
      <c r="B24" t="str">
        <f>PROPER(Table825[[#This Row],[Name]])</f>
        <v xml:space="preserve">Arun </v>
      </c>
      <c r="C24" t="s">
        <v>71</v>
      </c>
      <c r="D24" t="s">
        <v>40</v>
      </c>
      <c r="E24" t="str">
        <f>UPPER(Table825[[#This Row],[Region]])</f>
        <v xml:space="preserve"> INDIA </v>
      </c>
      <c r="F24" t="s">
        <v>92</v>
      </c>
      <c r="G24">
        <v>320</v>
      </c>
      <c r="H24">
        <v>12</v>
      </c>
      <c r="I24" t="s">
        <v>34</v>
      </c>
      <c r="J24">
        <v>24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2217A-2D7E-4EA1-BD1E-C95BB2DA7999}">
  <dimension ref="A1:K31"/>
  <sheetViews>
    <sheetView zoomScale="80" workbookViewId="0">
      <selection activeCell="F33" sqref="F33"/>
    </sheetView>
  </sheetViews>
  <sheetFormatPr defaultRowHeight="14.4" x14ac:dyDescent="0.3"/>
  <cols>
    <col min="1" max="1" width="27.109375" customWidth="1"/>
    <col min="2" max="2" width="8.88671875" customWidth="1"/>
    <col min="3" max="3" width="9.21875" customWidth="1"/>
    <col min="11" max="11" width="10.44140625" customWidth="1"/>
  </cols>
  <sheetData>
    <row r="1" spans="1:11" x14ac:dyDescent="0.3">
      <c r="A1" t="s">
        <v>63</v>
      </c>
      <c r="B1" t="s">
        <v>97</v>
      </c>
      <c r="C1" t="s">
        <v>91</v>
      </c>
      <c r="D1" t="s">
        <v>64</v>
      </c>
      <c r="E1" t="s">
        <v>98</v>
      </c>
      <c r="F1" t="s">
        <v>96</v>
      </c>
      <c r="G1" t="s">
        <v>65</v>
      </c>
      <c r="H1" t="s">
        <v>66</v>
      </c>
      <c r="I1" t="s">
        <v>67</v>
      </c>
      <c r="J1" t="s">
        <v>68</v>
      </c>
    </row>
    <row r="2" spans="1:11" x14ac:dyDescent="0.3">
      <c r="A2" t="s">
        <v>54</v>
      </c>
      <c r="B2" t="str">
        <f>PROPER(Table8[[#This Row],[Name]])</f>
        <v xml:space="preserve">Noah </v>
      </c>
      <c r="C2" t="s">
        <v>82</v>
      </c>
      <c r="D2" t="s">
        <v>42</v>
      </c>
      <c r="E2" t="str">
        <f>UPPER(Table8[[#This Row],[Region]])</f>
        <v xml:space="preserve"> US </v>
      </c>
      <c r="F2" t="s">
        <v>93</v>
      </c>
      <c r="G2">
        <v>920</v>
      </c>
      <c r="H2">
        <v>27</v>
      </c>
      <c r="I2" t="s">
        <v>36</v>
      </c>
      <c r="J2">
        <v>24</v>
      </c>
      <c r="K2" s="4"/>
    </row>
    <row r="3" spans="1:11" x14ac:dyDescent="0.3">
      <c r="A3" t="s">
        <v>41</v>
      </c>
      <c r="B3" t="str">
        <f>PROPER(Table8[[#This Row],[Name]])</f>
        <v xml:space="preserve">David </v>
      </c>
      <c r="C3" t="s">
        <v>72</v>
      </c>
      <c r="D3" t="s">
        <v>42</v>
      </c>
      <c r="E3" t="str">
        <f>UPPER(Table8[[#This Row],[Region]])</f>
        <v xml:space="preserve"> US </v>
      </c>
      <c r="F3" t="s">
        <v>93</v>
      </c>
      <c r="G3">
        <v>900</v>
      </c>
      <c r="H3">
        <v>5</v>
      </c>
      <c r="I3" t="s">
        <v>25</v>
      </c>
      <c r="J3">
        <v>24</v>
      </c>
    </row>
    <row r="4" spans="1:11" x14ac:dyDescent="0.3">
      <c r="A4" t="s">
        <v>49</v>
      </c>
      <c r="B4" t="str">
        <f>PROPER(Table8[[#This Row],[Name]])</f>
        <v xml:space="preserve">Liam </v>
      </c>
      <c r="C4" t="s">
        <v>77</v>
      </c>
      <c r="D4" t="s">
        <v>42</v>
      </c>
      <c r="E4" t="str">
        <f>UPPER(Table8[[#This Row],[Region]])</f>
        <v xml:space="preserve"> US </v>
      </c>
      <c r="F4" t="s">
        <v>93</v>
      </c>
      <c r="G4">
        <v>870</v>
      </c>
      <c r="H4">
        <v>25</v>
      </c>
      <c r="I4" t="s">
        <v>31</v>
      </c>
      <c r="J4">
        <v>24</v>
      </c>
    </row>
    <row r="5" spans="1:11" x14ac:dyDescent="0.3">
      <c r="A5" t="s">
        <v>50</v>
      </c>
      <c r="B5" t="str">
        <f>PROPER(Table8[[#This Row],[Name]])</f>
        <v xml:space="preserve">Mark </v>
      </c>
      <c r="C5" t="s">
        <v>78</v>
      </c>
      <c r="D5" t="s">
        <v>42</v>
      </c>
      <c r="E5" t="str">
        <f>UPPER(Table8[[#This Row],[Region]])</f>
        <v xml:space="preserve"> US </v>
      </c>
      <c r="F5" t="s">
        <v>93</v>
      </c>
      <c r="G5">
        <v>850</v>
      </c>
      <c r="H5">
        <v>30</v>
      </c>
      <c r="I5" t="s">
        <v>32</v>
      </c>
      <c r="J5">
        <v>24</v>
      </c>
    </row>
    <row r="6" spans="1:11" x14ac:dyDescent="0.3">
      <c r="A6" t="s">
        <v>47</v>
      </c>
      <c r="B6" t="str">
        <f>PROPER(Table8[[#This Row],[Name]])</f>
        <v xml:space="preserve">John </v>
      </c>
      <c r="C6" t="s">
        <v>75</v>
      </c>
      <c r="D6" t="s">
        <v>42</v>
      </c>
      <c r="E6" t="str">
        <f>UPPER(Table8[[#This Row],[Region]])</f>
        <v xml:space="preserve"> US </v>
      </c>
      <c r="F6" t="s">
        <v>93</v>
      </c>
      <c r="G6">
        <v>780</v>
      </c>
      <c r="H6">
        <v>18</v>
      </c>
      <c r="I6" t="s">
        <v>29</v>
      </c>
      <c r="J6">
        <v>24</v>
      </c>
    </row>
    <row r="7" spans="1:11" x14ac:dyDescent="0.3">
      <c r="A7" t="s">
        <v>45</v>
      </c>
      <c r="B7" t="str">
        <f>PROPER(Table8[[#This Row],[Name]])</f>
        <v xml:space="preserve">Fatima </v>
      </c>
      <c r="C7" t="s">
        <v>74</v>
      </c>
      <c r="D7" t="s">
        <v>46</v>
      </c>
      <c r="E7" t="str">
        <f>UPPER(Table8[[#This Row],[Region]])</f>
        <v xml:space="preserve"> UAE </v>
      </c>
      <c r="F7" t="s">
        <v>95</v>
      </c>
      <c r="G7">
        <v>720</v>
      </c>
      <c r="H7">
        <v>3</v>
      </c>
      <c r="I7" t="s">
        <v>36</v>
      </c>
      <c r="J7">
        <v>24</v>
      </c>
    </row>
    <row r="8" spans="1:11" x14ac:dyDescent="0.3">
      <c r="A8" t="s">
        <v>55</v>
      </c>
      <c r="B8" t="str">
        <f>PROPER(Table8[[#This Row],[Name]])</f>
        <v xml:space="preserve">Omar </v>
      </c>
      <c r="C8" t="s">
        <v>83</v>
      </c>
      <c r="D8" t="s">
        <v>46</v>
      </c>
      <c r="E8" t="str">
        <f>UPPER(Table8[[#This Row],[Region]])</f>
        <v xml:space="preserve"> UAE </v>
      </c>
      <c r="F8" t="s">
        <v>95</v>
      </c>
      <c r="G8">
        <v>690</v>
      </c>
      <c r="H8">
        <v>19</v>
      </c>
      <c r="I8" t="s">
        <v>25</v>
      </c>
      <c r="J8">
        <v>24</v>
      </c>
    </row>
    <row r="9" spans="1:11" x14ac:dyDescent="0.3">
      <c r="A9" t="s">
        <v>23</v>
      </c>
      <c r="B9" t="str">
        <f>PROPER(Table8[[#This Row],[Name]])</f>
        <v xml:space="preserve">Ali </v>
      </c>
      <c r="C9" t="s">
        <v>69</v>
      </c>
      <c r="D9" t="s">
        <v>24</v>
      </c>
      <c r="E9" t="str">
        <f>UPPER(Table8[[#This Row],[Region]])</f>
        <v xml:space="preserve"> INDIA </v>
      </c>
      <c r="F9" t="s">
        <v>92</v>
      </c>
      <c r="G9">
        <v>670</v>
      </c>
      <c r="H9">
        <v>22</v>
      </c>
      <c r="I9" t="s">
        <v>25</v>
      </c>
      <c r="J9">
        <v>24</v>
      </c>
    </row>
    <row r="10" spans="1:11" x14ac:dyDescent="0.3">
      <c r="A10" t="s">
        <v>59</v>
      </c>
      <c r="B10" t="str">
        <f>PROPER(Table8[[#This Row],[Name]])</f>
        <v xml:space="preserve">Sara </v>
      </c>
      <c r="C10" t="s">
        <v>87</v>
      </c>
      <c r="D10" t="s">
        <v>44</v>
      </c>
      <c r="E10" t="str">
        <f>UPPER(Table8[[#This Row],[Region]])</f>
        <v xml:space="preserve"> UK </v>
      </c>
      <c r="F10" t="s">
        <v>94</v>
      </c>
      <c r="G10">
        <v>620</v>
      </c>
      <c r="H10">
        <v>29</v>
      </c>
      <c r="I10" t="s">
        <v>29</v>
      </c>
      <c r="J10">
        <v>24</v>
      </c>
    </row>
    <row r="11" spans="1:11" x14ac:dyDescent="0.3">
      <c r="A11" t="s">
        <v>43</v>
      </c>
      <c r="B11" t="str">
        <f>PROPER(Table8[[#This Row],[Name]])</f>
        <v xml:space="preserve">Emma </v>
      </c>
      <c r="C11" t="s">
        <v>73</v>
      </c>
      <c r="D11" t="s">
        <v>44</v>
      </c>
      <c r="E11" t="str">
        <f>UPPER(Table8[[#This Row],[Region]])</f>
        <v xml:space="preserve"> UK </v>
      </c>
      <c r="F11" t="s">
        <v>94</v>
      </c>
      <c r="G11">
        <v>610</v>
      </c>
      <c r="H11">
        <v>15</v>
      </c>
      <c r="I11" t="s">
        <v>27</v>
      </c>
      <c r="J11">
        <v>24</v>
      </c>
    </row>
    <row r="12" spans="1:11" x14ac:dyDescent="0.3">
      <c r="A12" t="s">
        <v>43</v>
      </c>
      <c r="B12" t="str">
        <f>PROPER(Table8[[#This Row],[Name]])</f>
        <v xml:space="preserve">Emma </v>
      </c>
      <c r="C12" t="s">
        <v>73</v>
      </c>
      <c r="D12" t="s">
        <v>44</v>
      </c>
      <c r="E12" t="str">
        <f>UPPER(Table8[[#This Row],[Region]])</f>
        <v xml:space="preserve"> UK </v>
      </c>
      <c r="G12">
        <v>610</v>
      </c>
      <c r="H12">
        <v>15</v>
      </c>
      <c r="I12" t="s">
        <v>27</v>
      </c>
      <c r="J12">
        <v>24</v>
      </c>
    </row>
    <row r="13" spans="1:11" x14ac:dyDescent="0.3">
      <c r="A13" t="s">
        <v>62</v>
      </c>
      <c r="B13" t="str">
        <f>PROPER(Table8[[#This Row],[Name]])</f>
        <v xml:space="preserve">Vikram </v>
      </c>
      <c r="C13" t="s">
        <v>90</v>
      </c>
      <c r="D13" t="s">
        <v>24</v>
      </c>
      <c r="E13" t="str">
        <f>UPPER(Table8[[#This Row],[Region]])</f>
        <v xml:space="preserve"> INDIA </v>
      </c>
      <c r="F13" t="s">
        <v>92</v>
      </c>
      <c r="G13">
        <v>580</v>
      </c>
      <c r="H13">
        <v>12</v>
      </c>
      <c r="I13" t="s">
        <v>32</v>
      </c>
      <c r="J13">
        <v>24</v>
      </c>
    </row>
    <row r="14" spans="1:11" x14ac:dyDescent="0.3">
      <c r="A14" t="s">
        <v>58</v>
      </c>
      <c r="B14" t="str">
        <f>PROPER(Table8[[#This Row],[Name]])</f>
        <v xml:space="preserve">Ravi </v>
      </c>
      <c r="C14" t="s">
        <v>86</v>
      </c>
      <c r="D14" t="s">
        <v>24</v>
      </c>
      <c r="E14" t="str">
        <f>UPPER(Table8[[#This Row],[Region]])</f>
        <v xml:space="preserve"> INDIA </v>
      </c>
      <c r="F14" t="s">
        <v>92</v>
      </c>
      <c r="G14">
        <v>540</v>
      </c>
      <c r="H14">
        <v>10</v>
      </c>
      <c r="I14" t="s">
        <v>28</v>
      </c>
      <c r="J14">
        <v>24</v>
      </c>
    </row>
    <row r="15" spans="1:11" x14ac:dyDescent="0.3">
      <c r="A15" t="s">
        <v>57</v>
      </c>
      <c r="B15" t="str">
        <f>PROPER(Table8[[#This Row],[Name]])</f>
        <v xml:space="preserve">Rahul </v>
      </c>
      <c r="C15" t="s">
        <v>85</v>
      </c>
      <c r="D15" t="s">
        <v>24</v>
      </c>
      <c r="E15" t="str">
        <f>UPPER(Table8[[#This Row],[Region]])</f>
        <v xml:space="preserve"> INDIA </v>
      </c>
      <c r="F15" t="s">
        <v>92</v>
      </c>
      <c r="G15">
        <v>510</v>
      </c>
      <c r="H15">
        <v>21</v>
      </c>
      <c r="I15" t="s">
        <v>27</v>
      </c>
      <c r="J15">
        <v>24</v>
      </c>
    </row>
    <row r="16" spans="1:11" x14ac:dyDescent="0.3">
      <c r="A16" t="s">
        <v>48</v>
      </c>
      <c r="B16" t="str">
        <f>PROPER(Table8[[#This Row],[Name]])</f>
        <v xml:space="preserve">Kiran </v>
      </c>
      <c r="C16" t="s">
        <v>76</v>
      </c>
      <c r="D16" t="s">
        <v>24</v>
      </c>
      <c r="E16" t="str">
        <f>UPPER(Table8[[#This Row],[Region]])</f>
        <v xml:space="preserve"> INDIA </v>
      </c>
      <c r="F16" t="s">
        <v>92</v>
      </c>
      <c r="G16">
        <v>470</v>
      </c>
      <c r="H16">
        <v>9</v>
      </c>
      <c r="I16" t="s">
        <v>30</v>
      </c>
      <c r="J16">
        <v>24</v>
      </c>
    </row>
    <row r="17" spans="1:10" x14ac:dyDescent="0.3">
      <c r="A17" t="s">
        <v>37</v>
      </c>
      <c r="B17" t="str">
        <f>PROPER(Table8[[#This Row],[Name]])</f>
        <v xml:space="preserve">Anjali </v>
      </c>
      <c r="C17" t="s">
        <v>70</v>
      </c>
      <c r="D17" t="s">
        <v>38</v>
      </c>
      <c r="E17" t="str">
        <f>UPPER(Table8[[#This Row],[Region]])</f>
        <v xml:space="preserve"> INDIA </v>
      </c>
      <c r="F17" t="s">
        <v>92</v>
      </c>
      <c r="G17">
        <v>460</v>
      </c>
      <c r="H17">
        <v>12</v>
      </c>
      <c r="I17" t="s">
        <v>28</v>
      </c>
      <c r="J17">
        <v>24</v>
      </c>
    </row>
    <row r="18" spans="1:10" x14ac:dyDescent="0.3">
      <c r="A18" t="s">
        <v>51</v>
      </c>
      <c r="B18" t="str">
        <f>PROPER(Table8[[#This Row],[Name]])</f>
        <v xml:space="preserve">Meena </v>
      </c>
      <c r="C18" t="s">
        <v>79</v>
      </c>
      <c r="D18" t="s">
        <v>24</v>
      </c>
      <c r="E18" t="str">
        <f>UPPER(Table8[[#This Row],[Region]])</f>
        <v xml:space="preserve"> INDIA </v>
      </c>
      <c r="F18" t="s">
        <v>92</v>
      </c>
      <c r="G18">
        <v>450</v>
      </c>
      <c r="H18">
        <v>14</v>
      </c>
      <c r="I18" t="s">
        <v>33</v>
      </c>
      <c r="J18">
        <v>24</v>
      </c>
    </row>
    <row r="19" spans="1:10" x14ac:dyDescent="0.3">
      <c r="A19" t="s">
        <v>52</v>
      </c>
      <c r="B19" t="str">
        <f>PROPER(Table8[[#This Row],[Name]])</f>
        <v xml:space="preserve">Mohan </v>
      </c>
      <c r="C19" t="s">
        <v>80</v>
      </c>
      <c r="D19" t="s">
        <v>24</v>
      </c>
      <c r="E19" t="str">
        <f>UPPER(Table8[[#This Row],[Region]])</f>
        <v xml:space="preserve"> INDIA </v>
      </c>
      <c r="F19" t="s">
        <v>92</v>
      </c>
      <c r="G19">
        <v>450</v>
      </c>
      <c r="H19">
        <v>1</v>
      </c>
      <c r="I19" t="s">
        <v>34</v>
      </c>
      <c r="J19">
        <v>24</v>
      </c>
    </row>
    <row r="20" spans="1:10" x14ac:dyDescent="0.3">
      <c r="A20" t="s">
        <v>56</v>
      </c>
      <c r="B20" t="str">
        <f>PROPER(Table8[[#This Row],[Name]])</f>
        <v xml:space="preserve">Priya </v>
      </c>
      <c r="C20" t="s">
        <v>84</v>
      </c>
      <c r="D20" t="s">
        <v>24</v>
      </c>
      <c r="E20" t="str">
        <f>UPPER(Table8[[#This Row],[Region]])</f>
        <v xml:space="preserve"> INDIA </v>
      </c>
      <c r="F20" t="s">
        <v>92</v>
      </c>
      <c r="G20">
        <v>430</v>
      </c>
      <c r="H20">
        <v>8</v>
      </c>
      <c r="I20" t="s">
        <v>26</v>
      </c>
      <c r="J20">
        <v>24</v>
      </c>
    </row>
    <row r="21" spans="1:10" x14ac:dyDescent="0.3">
      <c r="A21" t="s">
        <v>53</v>
      </c>
      <c r="B21" t="str">
        <f>PROPER(Table8[[#This Row],[Name]])</f>
        <v xml:space="preserve">Neha </v>
      </c>
      <c r="C21" t="s">
        <v>81</v>
      </c>
      <c r="D21" t="s">
        <v>24</v>
      </c>
      <c r="E21" t="str">
        <f>UPPER(Table8[[#This Row],[Region]])</f>
        <v xml:space="preserve"> INDIA </v>
      </c>
      <c r="F21" t="s">
        <v>92</v>
      </c>
      <c r="G21">
        <v>410</v>
      </c>
      <c r="H21">
        <v>11</v>
      </c>
      <c r="I21" t="s">
        <v>35</v>
      </c>
      <c r="J21">
        <v>24</v>
      </c>
    </row>
    <row r="22" spans="1:10" x14ac:dyDescent="0.3">
      <c r="A22" t="s">
        <v>60</v>
      </c>
      <c r="B22" t="str">
        <f>PROPER(Table8[[#This Row],[Name]])</f>
        <v xml:space="preserve">Sneha </v>
      </c>
      <c r="C22" t="s">
        <v>88</v>
      </c>
      <c r="D22" t="s">
        <v>24</v>
      </c>
      <c r="E22" t="str">
        <f>UPPER(Table8[[#This Row],[Region]])</f>
        <v xml:space="preserve"> INDIA </v>
      </c>
      <c r="F22" t="s">
        <v>92</v>
      </c>
      <c r="G22">
        <v>390</v>
      </c>
      <c r="H22">
        <v>17</v>
      </c>
      <c r="I22" t="s">
        <v>30</v>
      </c>
      <c r="J22">
        <v>24</v>
      </c>
    </row>
    <row r="23" spans="1:10" x14ac:dyDescent="0.3">
      <c r="A23" t="s">
        <v>61</v>
      </c>
      <c r="B23" t="str">
        <f>PROPER(Table8[[#This Row],[Name]])</f>
        <v xml:space="preserve">Surya </v>
      </c>
      <c r="C23" t="s">
        <v>89</v>
      </c>
      <c r="D23" t="s">
        <v>24</v>
      </c>
      <c r="E23" t="str">
        <f>UPPER(Table8[[#This Row],[Region]])</f>
        <v xml:space="preserve"> INDIA </v>
      </c>
      <c r="F23" t="s">
        <v>92</v>
      </c>
      <c r="G23">
        <v>390</v>
      </c>
      <c r="H23">
        <v>5</v>
      </c>
      <c r="I23" t="s">
        <v>31</v>
      </c>
      <c r="J23">
        <v>24</v>
      </c>
    </row>
    <row r="24" spans="1:10" x14ac:dyDescent="0.3">
      <c r="A24" t="s">
        <v>39</v>
      </c>
      <c r="B24" t="str">
        <f>PROPER(Table8[[#This Row],[Name]])</f>
        <v xml:space="preserve">Arun </v>
      </c>
      <c r="C24" t="s">
        <v>71</v>
      </c>
      <c r="D24" t="s">
        <v>40</v>
      </c>
      <c r="E24" t="str">
        <f>UPPER(Table8[[#This Row],[Region]])</f>
        <v xml:space="preserve"> INDIA </v>
      </c>
      <c r="F24" t="s">
        <v>92</v>
      </c>
      <c r="G24">
        <v>320</v>
      </c>
      <c r="H24">
        <v>12</v>
      </c>
      <c r="I24" t="s">
        <v>34</v>
      </c>
      <c r="J24">
        <v>24</v>
      </c>
    </row>
    <row r="27" spans="1:10" x14ac:dyDescent="0.3">
      <c r="A27" s="8" t="s">
        <v>99</v>
      </c>
      <c r="B27">
        <f>MAX(Table8[Amount])</f>
        <v>920</v>
      </c>
    </row>
    <row r="28" spans="1:10" x14ac:dyDescent="0.3">
      <c r="A28" s="8" t="s">
        <v>100</v>
      </c>
      <c r="B28">
        <f>MIN(Table8[Amount])</f>
        <v>320</v>
      </c>
    </row>
    <row r="30" spans="1:10" x14ac:dyDescent="0.3">
      <c r="A30" s="8" t="s">
        <v>105</v>
      </c>
      <c r="B30">
        <f>SUM(Table8[Amount])</f>
        <v>13640</v>
      </c>
    </row>
    <row r="31" spans="1:10" x14ac:dyDescent="0.3">
      <c r="A31" s="8" t="s">
        <v>106</v>
      </c>
      <c r="B31">
        <f>AVERAGE(Table8[Amount])</f>
        <v>593.04347826086962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36F2D-6D06-475A-A5C8-26C5A63D4037}">
  <dimension ref="A1:C8"/>
  <sheetViews>
    <sheetView workbookViewId="0">
      <selection activeCell="D8" sqref="D8"/>
    </sheetView>
  </sheetViews>
  <sheetFormatPr defaultRowHeight="14.4" x14ac:dyDescent="0.3"/>
  <cols>
    <col min="1" max="1" width="12.5546875" bestFit="1" customWidth="1"/>
    <col min="2" max="2" width="14.6640625" bestFit="1" customWidth="1"/>
  </cols>
  <sheetData>
    <row r="1" spans="1:3" x14ac:dyDescent="0.3">
      <c r="A1" s="8" t="s">
        <v>104</v>
      </c>
      <c r="B1" s="8"/>
      <c r="C1" s="8"/>
    </row>
    <row r="3" spans="1:3" x14ac:dyDescent="0.3">
      <c r="A3" s="5" t="s">
        <v>101</v>
      </c>
      <c r="B3" t="s">
        <v>103</v>
      </c>
    </row>
    <row r="4" spans="1:3" x14ac:dyDescent="0.3">
      <c r="A4" s="6" t="s">
        <v>24</v>
      </c>
      <c r="B4" s="7">
        <v>13</v>
      </c>
    </row>
    <row r="5" spans="1:3" x14ac:dyDescent="0.3">
      <c r="A5" s="6" t="s">
        <v>46</v>
      </c>
      <c r="B5" s="7">
        <v>2</v>
      </c>
    </row>
    <row r="6" spans="1:3" x14ac:dyDescent="0.3">
      <c r="A6" s="6" t="s">
        <v>44</v>
      </c>
      <c r="B6" s="7">
        <v>3</v>
      </c>
    </row>
    <row r="7" spans="1:3" x14ac:dyDescent="0.3">
      <c r="A7" s="6" t="s">
        <v>42</v>
      </c>
      <c r="B7" s="7">
        <v>5</v>
      </c>
    </row>
    <row r="8" spans="1:3" x14ac:dyDescent="0.3">
      <c r="A8" s="6" t="s">
        <v>102</v>
      </c>
      <c r="B8" s="7">
        <v>23</v>
      </c>
    </row>
  </sheetData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D973E-4E73-455F-9E91-D13900FC8353}">
  <dimension ref="A1:K25"/>
  <sheetViews>
    <sheetView tabSelected="1" zoomScale="61" workbookViewId="0">
      <selection activeCell="L19" sqref="L19"/>
    </sheetView>
  </sheetViews>
  <sheetFormatPr defaultRowHeight="14.4" x14ac:dyDescent="0.3"/>
  <cols>
    <col min="1" max="1" width="27.109375" customWidth="1"/>
    <col min="2" max="2" width="8.88671875" customWidth="1"/>
    <col min="3" max="3" width="9.21875" customWidth="1"/>
    <col min="11" max="11" width="20.33203125" customWidth="1"/>
  </cols>
  <sheetData>
    <row r="1" spans="1:11" x14ac:dyDescent="0.3">
      <c r="A1" t="s">
        <v>63</v>
      </c>
      <c r="B1" t="s">
        <v>97</v>
      </c>
      <c r="C1" t="s">
        <v>91</v>
      </c>
      <c r="D1" t="s">
        <v>64</v>
      </c>
      <c r="E1" t="s">
        <v>98</v>
      </c>
      <c r="F1" t="s">
        <v>96</v>
      </c>
      <c r="G1" t="s">
        <v>65</v>
      </c>
      <c r="H1" t="s">
        <v>66</v>
      </c>
      <c r="I1" t="s">
        <v>67</v>
      </c>
      <c r="J1" t="s">
        <v>68</v>
      </c>
      <c r="K1" t="s">
        <v>107</v>
      </c>
    </row>
    <row r="2" spans="1:11" x14ac:dyDescent="0.3">
      <c r="A2" t="s">
        <v>54</v>
      </c>
      <c r="B2" t="str">
        <f>PROPER(Table82[[#This Row],[Name]])</f>
        <v xml:space="preserve">Noah </v>
      </c>
      <c r="C2" t="s">
        <v>82</v>
      </c>
      <c r="D2" t="s">
        <v>42</v>
      </c>
      <c r="E2" t="str">
        <f>UPPER(Table82[[#This Row],[Region]])</f>
        <v xml:space="preserve"> US </v>
      </c>
      <c r="F2" t="s">
        <v>93</v>
      </c>
      <c r="G2">
        <v>920</v>
      </c>
      <c r="H2">
        <v>27</v>
      </c>
      <c r="I2" t="s">
        <v>36</v>
      </c>
      <c r="J2">
        <v>24</v>
      </c>
      <c r="K2" s="4" t="str">
        <f>IF(Table82[[#This Row],[Amount]]&gt;800,"Excellent",IF(Table82[[#This Row],[Amount]]&gt;=500,"Good","Needs Improvement"))</f>
        <v>Excellent</v>
      </c>
    </row>
    <row r="3" spans="1:11" x14ac:dyDescent="0.3">
      <c r="A3" t="s">
        <v>41</v>
      </c>
      <c r="B3" t="str">
        <f>PROPER(Table82[[#This Row],[Name]])</f>
        <v xml:space="preserve">David </v>
      </c>
      <c r="C3" t="s">
        <v>72</v>
      </c>
      <c r="D3" t="s">
        <v>42</v>
      </c>
      <c r="E3" t="str">
        <f>UPPER(Table82[[#This Row],[Region]])</f>
        <v xml:space="preserve"> US </v>
      </c>
      <c r="F3" t="s">
        <v>93</v>
      </c>
      <c r="G3">
        <v>900</v>
      </c>
      <c r="H3">
        <v>5</v>
      </c>
      <c r="I3" t="s">
        <v>25</v>
      </c>
      <c r="J3">
        <v>24</v>
      </c>
      <c r="K3" s="4" t="str">
        <f>IF(Table82[[#This Row],[Amount]]&gt;800,"Excellent",IF(Table82[[#This Row],[Amount]]&gt;=500,"Good","Needs Improvement"))</f>
        <v>Excellent</v>
      </c>
    </row>
    <row r="4" spans="1:11" x14ac:dyDescent="0.3">
      <c r="A4" t="s">
        <v>49</v>
      </c>
      <c r="B4" t="str">
        <f>PROPER(Table82[[#This Row],[Name]])</f>
        <v xml:space="preserve">Liam </v>
      </c>
      <c r="C4" t="s">
        <v>77</v>
      </c>
      <c r="D4" t="s">
        <v>42</v>
      </c>
      <c r="E4" t="str">
        <f>UPPER(Table82[[#This Row],[Region]])</f>
        <v xml:space="preserve"> US </v>
      </c>
      <c r="F4" t="s">
        <v>93</v>
      </c>
      <c r="G4">
        <v>870</v>
      </c>
      <c r="H4">
        <v>25</v>
      </c>
      <c r="I4" t="s">
        <v>31</v>
      </c>
      <c r="J4">
        <v>24</v>
      </c>
      <c r="K4" s="4" t="str">
        <f>IF(Table82[[#This Row],[Amount]]&gt;800,"Excellent",IF(Table82[[#This Row],[Amount]]&gt;=500,"Good","Needs Improvement"))</f>
        <v>Excellent</v>
      </c>
    </row>
    <row r="5" spans="1:11" x14ac:dyDescent="0.3">
      <c r="A5" t="s">
        <v>50</v>
      </c>
      <c r="B5" t="str">
        <f>PROPER(Table82[[#This Row],[Name]])</f>
        <v xml:space="preserve">Mark </v>
      </c>
      <c r="C5" t="s">
        <v>78</v>
      </c>
      <c r="D5" t="s">
        <v>42</v>
      </c>
      <c r="E5" t="str">
        <f>UPPER(Table82[[#This Row],[Region]])</f>
        <v xml:space="preserve"> US </v>
      </c>
      <c r="F5" t="s">
        <v>93</v>
      </c>
      <c r="G5">
        <v>850</v>
      </c>
      <c r="H5">
        <v>30</v>
      </c>
      <c r="I5" t="s">
        <v>32</v>
      </c>
      <c r="J5">
        <v>24</v>
      </c>
      <c r="K5" s="4" t="str">
        <f>IF(Table82[[#This Row],[Amount]]&gt;800,"Excellent",IF(Table82[[#This Row],[Amount]]&gt;=500,"Good","Needs Improvement"))</f>
        <v>Excellent</v>
      </c>
    </row>
    <row r="6" spans="1:11" x14ac:dyDescent="0.3">
      <c r="A6" t="s">
        <v>47</v>
      </c>
      <c r="B6" t="str">
        <f>PROPER(Table82[[#This Row],[Name]])</f>
        <v xml:space="preserve">John </v>
      </c>
      <c r="C6" t="s">
        <v>75</v>
      </c>
      <c r="D6" t="s">
        <v>42</v>
      </c>
      <c r="E6" t="str">
        <f>UPPER(Table82[[#This Row],[Region]])</f>
        <v xml:space="preserve"> US </v>
      </c>
      <c r="F6" t="s">
        <v>93</v>
      </c>
      <c r="G6">
        <v>780</v>
      </c>
      <c r="H6">
        <v>18</v>
      </c>
      <c r="I6" t="s">
        <v>29</v>
      </c>
      <c r="J6">
        <v>24</v>
      </c>
      <c r="K6" s="4" t="str">
        <f>IF(Table82[[#This Row],[Amount]]&gt;800,"Excellent",IF(Table82[[#This Row],[Amount]]&gt;=500,"Good","Needs Improvement"))</f>
        <v>Good</v>
      </c>
    </row>
    <row r="7" spans="1:11" x14ac:dyDescent="0.3">
      <c r="A7" t="s">
        <v>45</v>
      </c>
      <c r="B7" t="str">
        <f>PROPER(Table82[[#This Row],[Name]])</f>
        <v xml:space="preserve">Fatima </v>
      </c>
      <c r="C7" t="s">
        <v>74</v>
      </c>
      <c r="D7" t="s">
        <v>46</v>
      </c>
      <c r="E7" t="str">
        <f>UPPER(Table82[[#This Row],[Region]])</f>
        <v xml:space="preserve"> UAE </v>
      </c>
      <c r="F7" t="s">
        <v>95</v>
      </c>
      <c r="G7">
        <v>720</v>
      </c>
      <c r="H7">
        <v>3</v>
      </c>
      <c r="I7" t="s">
        <v>36</v>
      </c>
      <c r="J7">
        <v>24</v>
      </c>
      <c r="K7" s="4" t="str">
        <f>IF(Table82[[#This Row],[Amount]]&gt;800,"Excellent",IF(Table82[[#This Row],[Amount]]&gt;=500,"Good","Needs Improvement"))</f>
        <v>Good</v>
      </c>
    </row>
    <row r="8" spans="1:11" x14ac:dyDescent="0.3">
      <c r="A8" t="s">
        <v>55</v>
      </c>
      <c r="B8" t="str">
        <f>PROPER(Table82[[#This Row],[Name]])</f>
        <v xml:space="preserve">Omar </v>
      </c>
      <c r="C8" t="s">
        <v>83</v>
      </c>
      <c r="D8" t="s">
        <v>46</v>
      </c>
      <c r="E8" t="str">
        <f>UPPER(Table82[[#This Row],[Region]])</f>
        <v xml:space="preserve"> UAE </v>
      </c>
      <c r="F8" t="s">
        <v>95</v>
      </c>
      <c r="G8">
        <v>690</v>
      </c>
      <c r="H8">
        <v>19</v>
      </c>
      <c r="I8" t="s">
        <v>25</v>
      </c>
      <c r="J8">
        <v>24</v>
      </c>
      <c r="K8" s="4" t="str">
        <f>IF(Table82[[#This Row],[Amount]]&gt;800,"Excellent",IF(Table82[[#This Row],[Amount]]&gt;=500,"Good","Needs Improvement"))</f>
        <v>Good</v>
      </c>
    </row>
    <row r="9" spans="1:11" x14ac:dyDescent="0.3">
      <c r="A9" t="s">
        <v>23</v>
      </c>
      <c r="B9" t="str">
        <f>PROPER(Table82[[#This Row],[Name]])</f>
        <v xml:space="preserve">Ali </v>
      </c>
      <c r="C9" t="s">
        <v>69</v>
      </c>
      <c r="D9" t="s">
        <v>24</v>
      </c>
      <c r="E9" t="str">
        <f>UPPER(Table82[[#This Row],[Region]])</f>
        <v xml:space="preserve"> INDIA </v>
      </c>
      <c r="F9" t="s">
        <v>92</v>
      </c>
      <c r="G9">
        <v>670</v>
      </c>
      <c r="H9">
        <v>22</v>
      </c>
      <c r="I9" t="s">
        <v>25</v>
      </c>
      <c r="J9">
        <v>24</v>
      </c>
      <c r="K9" s="4" t="str">
        <f>IF(Table82[[#This Row],[Amount]]&gt;800,"Excellent",IF(Table82[[#This Row],[Amount]]&gt;=500,"Good","Needs Improvement"))</f>
        <v>Good</v>
      </c>
    </row>
    <row r="10" spans="1:11" x14ac:dyDescent="0.3">
      <c r="A10" t="s">
        <v>59</v>
      </c>
      <c r="B10" t="str">
        <f>PROPER(Table82[[#This Row],[Name]])</f>
        <v xml:space="preserve">Sara </v>
      </c>
      <c r="C10" t="s">
        <v>87</v>
      </c>
      <c r="D10" t="s">
        <v>44</v>
      </c>
      <c r="E10" t="str">
        <f>UPPER(Table82[[#This Row],[Region]])</f>
        <v xml:space="preserve"> UK </v>
      </c>
      <c r="F10" t="s">
        <v>94</v>
      </c>
      <c r="G10">
        <v>620</v>
      </c>
      <c r="H10">
        <v>29</v>
      </c>
      <c r="I10" t="s">
        <v>29</v>
      </c>
      <c r="J10">
        <v>24</v>
      </c>
      <c r="K10" s="4" t="str">
        <f>IF(Table82[[#This Row],[Amount]]&gt;800,"Excellent",IF(Table82[[#This Row],[Amount]]&gt;=500,"Good","Needs Improvement"))</f>
        <v>Good</v>
      </c>
    </row>
    <row r="11" spans="1:11" x14ac:dyDescent="0.3">
      <c r="A11" t="s">
        <v>43</v>
      </c>
      <c r="B11" t="str">
        <f>PROPER(Table82[[#This Row],[Name]])</f>
        <v xml:space="preserve">Emma </v>
      </c>
      <c r="C11" t="s">
        <v>73</v>
      </c>
      <c r="D11" t="s">
        <v>44</v>
      </c>
      <c r="E11" t="str">
        <f>UPPER(Table82[[#This Row],[Region]])</f>
        <v xml:space="preserve"> UK </v>
      </c>
      <c r="F11" t="s">
        <v>94</v>
      </c>
      <c r="G11">
        <v>610</v>
      </c>
      <c r="H11">
        <v>15</v>
      </c>
      <c r="I11" t="s">
        <v>27</v>
      </c>
      <c r="J11">
        <v>24</v>
      </c>
      <c r="K11" s="4" t="str">
        <f>IF(Table82[[#This Row],[Amount]]&gt;800,"Excellent",IF(Table82[[#This Row],[Amount]]&gt;=500,"Good","Needs Improvement"))</f>
        <v>Good</v>
      </c>
    </row>
    <row r="12" spans="1:11" x14ac:dyDescent="0.3">
      <c r="A12" t="s">
        <v>43</v>
      </c>
      <c r="B12" t="str">
        <f>PROPER(Table82[[#This Row],[Name]])</f>
        <v xml:space="preserve">Emma </v>
      </c>
      <c r="C12" t="s">
        <v>73</v>
      </c>
      <c r="D12" t="s">
        <v>44</v>
      </c>
      <c r="E12" t="str">
        <f>UPPER(Table82[[#This Row],[Region]])</f>
        <v xml:space="preserve"> UK </v>
      </c>
      <c r="G12">
        <v>610</v>
      </c>
      <c r="H12">
        <v>15</v>
      </c>
      <c r="I12" t="s">
        <v>27</v>
      </c>
      <c r="J12">
        <v>24</v>
      </c>
      <c r="K12" s="4" t="str">
        <f>IF(Table82[[#This Row],[Amount]]&gt;800,"Excellent",IF(Table82[[#This Row],[Amount]]&gt;=500,"Good","Needs Improvement"))</f>
        <v>Good</v>
      </c>
    </row>
    <row r="13" spans="1:11" x14ac:dyDescent="0.3">
      <c r="A13" t="s">
        <v>62</v>
      </c>
      <c r="B13" t="str">
        <f>PROPER(Table82[[#This Row],[Name]])</f>
        <v xml:space="preserve">Vikram </v>
      </c>
      <c r="C13" t="s">
        <v>90</v>
      </c>
      <c r="D13" t="s">
        <v>24</v>
      </c>
      <c r="E13" t="str">
        <f>UPPER(Table82[[#This Row],[Region]])</f>
        <v xml:space="preserve"> INDIA </v>
      </c>
      <c r="F13" t="s">
        <v>92</v>
      </c>
      <c r="G13">
        <v>580</v>
      </c>
      <c r="H13">
        <v>12</v>
      </c>
      <c r="I13" t="s">
        <v>32</v>
      </c>
      <c r="J13">
        <v>24</v>
      </c>
      <c r="K13" s="4" t="str">
        <f>IF(Table82[[#This Row],[Amount]]&gt;800,"Excellent",IF(Table82[[#This Row],[Amount]]&gt;=500,"Good","Needs Improvement"))</f>
        <v>Good</v>
      </c>
    </row>
    <row r="14" spans="1:11" x14ac:dyDescent="0.3">
      <c r="A14" t="s">
        <v>58</v>
      </c>
      <c r="B14" t="str">
        <f>PROPER(Table82[[#This Row],[Name]])</f>
        <v xml:space="preserve">Ravi </v>
      </c>
      <c r="C14" t="s">
        <v>86</v>
      </c>
      <c r="D14" t="s">
        <v>24</v>
      </c>
      <c r="E14" t="str">
        <f>UPPER(Table82[[#This Row],[Region]])</f>
        <v xml:space="preserve"> INDIA </v>
      </c>
      <c r="F14" t="s">
        <v>92</v>
      </c>
      <c r="G14">
        <v>540</v>
      </c>
      <c r="H14">
        <v>10</v>
      </c>
      <c r="I14" t="s">
        <v>28</v>
      </c>
      <c r="J14">
        <v>24</v>
      </c>
      <c r="K14" s="4" t="str">
        <f>IF(Table82[[#This Row],[Amount]]&gt;800,"Excellent",IF(Table82[[#This Row],[Amount]]&gt;=500,"Good","Needs Improvement"))</f>
        <v>Good</v>
      </c>
    </row>
    <row r="15" spans="1:11" x14ac:dyDescent="0.3">
      <c r="A15" t="s">
        <v>57</v>
      </c>
      <c r="B15" t="str">
        <f>PROPER(Table82[[#This Row],[Name]])</f>
        <v xml:space="preserve">Rahul </v>
      </c>
      <c r="C15" t="s">
        <v>85</v>
      </c>
      <c r="D15" t="s">
        <v>24</v>
      </c>
      <c r="E15" t="str">
        <f>UPPER(Table82[[#This Row],[Region]])</f>
        <v xml:space="preserve"> INDIA </v>
      </c>
      <c r="F15" t="s">
        <v>92</v>
      </c>
      <c r="G15">
        <v>510</v>
      </c>
      <c r="H15">
        <v>21</v>
      </c>
      <c r="I15" t="s">
        <v>27</v>
      </c>
      <c r="J15">
        <v>24</v>
      </c>
      <c r="K15" s="4" t="str">
        <f>IF(Table82[[#This Row],[Amount]]&gt;800,"Excellent",IF(Table82[[#This Row],[Amount]]&gt;=500,"Good","Needs Improvement"))</f>
        <v>Good</v>
      </c>
    </row>
    <row r="16" spans="1:11" x14ac:dyDescent="0.3">
      <c r="A16" t="s">
        <v>48</v>
      </c>
      <c r="B16" t="str">
        <f>PROPER(Table82[[#This Row],[Name]])</f>
        <v xml:space="preserve">Kiran </v>
      </c>
      <c r="C16" t="s">
        <v>76</v>
      </c>
      <c r="D16" t="s">
        <v>24</v>
      </c>
      <c r="E16" t="str">
        <f>UPPER(Table82[[#This Row],[Region]])</f>
        <v xml:space="preserve"> INDIA </v>
      </c>
      <c r="F16" t="s">
        <v>92</v>
      </c>
      <c r="G16">
        <v>470</v>
      </c>
      <c r="H16">
        <v>9</v>
      </c>
      <c r="I16" t="s">
        <v>30</v>
      </c>
      <c r="J16">
        <v>24</v>
      </c>
      <c r="K16" s="4" t="str">
        <f>IF(Table82[[#This Row],[Amount]]&gt;800,"Excellent",IF(Table82[[#This Row],[Amount]]&gt;=500,"Good","Needs Improvement"))</f>
        <v>Needs Improvement</v>
      </c>
    </row>
    <row r="17" spans="1:11" x14ac:dyDescent="0.3">
      <c r="A17" t="s">
        <v>37</v>
      </c>
      <c r="B17" t="str">
        <f>PROPER(Table82[[#This Row],[Name]])</f>
        <v xml:space="preserve">Anjali </v>
      </c>
      <c r="C17" t="s">
        <v>70</v>
      </c>
      <c r="D17" t="s">
        <v>38</v>
      </c>
      <c r="E17" t="str">
        <f>UPPER(Table82[[#This Row],[Region]])</f>
        <v xml:space="preserve"> INDIA </v>
      </c>
      <c r="F17" t="s">
        <v>92</v>
      </c>
      <c r="G17">
        <v>460</v>
      </c>
      <c r="H17">
        <v>12</v>
      </c>
      <c r="I17" t="s">
        <v>28</v>
      </c>
      <c r="J17">
        <v>24</v>
      </c>
      <c r="K17" s="4" t="str">
        <f>IF(Table82[[#This Row],[Amount]]&gt;800,"Excellent",IF(Table82[[#This Row],[Amount]]&gt;=500,"Good","Needs Improvement"))</f>
        <v>Needs Improvement</v>
      </c>
    </row>
    <row r="18" spans="1:11" x14ac:dyDescent="0.3">
      <c r="A18" t="s">
        <v>51</v>
      </c>
      <c r="B18" t="str">
        <f>PROPER(Table82[[#This Row],[Name]])</f>
        <v xml:space="preserve">Meena </v>
      </c>
      <c r="C18" t="s">
        <v>79</v>
      </c>
      <c r="D18" t="s">
        <v>24</v>
      </c>
      <c r="E18" t="str">
        <f>UPPER(Table82[[#This Row],[Region]])</f>
        <v xml:space="preserve"> INDIA </v>
      </c>
      <c r="F18" t="s">
        <v>92</v>
      </c>
      <c r="G18">
        <v>450</v>
      </c>
      <c r="H18">
        <v>14</v>
      </c>
      <c r="I18" t="s">
        <v>33</v>
      </c>
      <c r="J18">
        <v>24</v>
      </c>
      <c r="K18" s="4" t="str">
        <f>IF(Table82[[#This Row],[Amount]]&gt;800,"Excellent",IF(Table82[[#This Row],[Amount]]&gt;=500,"Good","Needs Improvement"))</f>
        <v>Needs Improvement</v>
      </c>
    </row>
    <row r="19" spans="1:11" x14ac:dyDescent="0.3">
      <c r="A19" t="s">
        <v>52</v>
      </c>
      <c r="B19" t="str">
        <f>PROPER(Table82[[#This Row],[Name]])</f>
        <v xml:space="preserve">Mohan </v>
      </c>
      <c r="C19" t="s">
        <v>80</v>
      </c>
      <c r="D19" t="s">
        <v>24</v>
      </c>
      <c r="E19" t="str">
        <f>UPPER(Table82[[#This Row],[Region]])</f>
        <v xml:space="preserve"> INDIA </v>
      </c>
      <c r="F19" t="s">
        <v>92</v>
      </c>
      <c r="G19">
        <v>450</v>
      </c>
      <c r="H19">
        <v>1</v>
      </c>
      <c r="I19" t="s">
        <v>34</v>
      </c>
      <c r="J19">
        <v>24</v>
      </c>
      <c r="K19" s="4" t="str">
        <f>IF(Table82[[#This Row],[Amount]]&gt;800,"Excellent",IF(Table82[[#This Row],[Amount]]&gt;=500,"Good","Needs Improvement"))</f>
        <v>Needs Improvement</v>
      </c>
    </row>
    <row r="20" spans="1:11" x14ac:dyDescent="0.3">
      <c r="A20" t="s">
        <v>56</v>
      </c>
      <c r="B20" t="str">
        <f>PROPER(Table82[[#This Row],[Name]])</f>
        <v xml:space="preserve">Priya </v>
      </c>
      <c r="C20" t="s">
        <v>84</v>
      </c>
      <c r="D20" t="s">
        <v>24</v>
      </c>
      <c r="E20" t="str">
        <f>UPPER(Table82[[#This Row],[Region]])</f>
        <v xml:space="preserve"> INDIA </v>
      </c>
      <c r="F20" t="s">
        <v>92</v>
      </c>
      <c r="G20">
        <v>430</v>
      </c>
      <c r="H20">
        <v>8</v>
      </c>
      <c r="I20" t="s">
        <v>26</v>
      </c>
      <c r="J20">
        <v>24</v>
      </c>
      <c r="K20" s="4" t="str">
        <f>IF(Table82[[#This Row],[Amount]]&gt;800,"Excellent",IF(Table82[[#This Row],[Amount]]&gt;=500,"Good","Needs Improvement"))</f>
        <v>Needs Improvement</v>
      </c>
    </row>
    <row r="21" spans="1:11" x14ac:dyDescent="0.3">
      <c r="A21" t="s">
        <v>53</v>
      </c>
      <c r="B21" t="str">
        <f>PROPER(Table82[[#This Row],[Name]])</f>
        <v xml:space="preserve">Neha </v>
      </c>
      <c r="C21" t="s">
        <v>81</v>
      </c>
      <c r="D21" t="s">
        <v>24</v>
      </c>
      <c r="E21" t="str">
        <f>UPPER(Table82[[#This Row],[Region]])</f>
        <v xml:space="preserve"> INDIA </v>
      </c>
      <c r="F21" t="s">
        <v>92</v>
      </c>
      <c r="G21">
        <v>410</v>
      </c>
      <c r="H21">
        <v>11</v>
      </c>
      <c r="I21" t="s">
        <v>35</v>
      </c>
      <c r="J21">
        <v>24</v>
      </c>
      <c r="K21" s="4" t="str">
        <f>IF(Table82[[#This Row],[Amount]]&gt;800,"Excellent",IF(Table82[[#This Row],[Amount]]&gt;=500,"Good","Needs Improvement"))</f>
        <v>Needs Improvement</v>
      </c>
    </row>
    <row r="22" spans="1:11" x14ac:dyDescent="0.3">
      <c r="A22" t="s">
        <v>60</v>
      </c>
      <c r="B22" t="str">
        <f>PROPER(Table82[[#This Row],[Name]])</f>
        <v xml:space="preserve">Sneha </v>
      </c>
      <c r="C22" t="s">
        <v>88</v>
      </c>
      <c r="D22" t="s">
        <v>24</v>
      </c>
      <c r="E22" t="str">
        <f>UPPER(Table82[[#This Row],[Region]])</f>
        <v xml:space="preserve"> INDIA </v>
      </c>
      <c r="F22" t="s">
        <v>92</v>
      </c>
      <c r="G22">
        <v>390</v>
      </c>
      <c r="H22">
        <v>17</v>
      </c>
      <c r="I22" t="s">
        <v>30</v>
      </c>
      <c r="J22">
        <v>24</v>
      </c>
      <c r="K22" s="4" t="str">
        <f>IF(Table82[[#This Row],[Amount]]&gt;800,"Excellent",IF(Table82[[#This Row],[Amount]]&gt;=500,"Good","Needs Improvement"))</f>
        <v>Needs Improvement</v>
      </c>
    </row>
    <row r="23" spans="1:11" x14ac:dyDescent="0.3">
      <c r="A23" t="s">
        <v>61</v>
      </c>
      <c r="B23" t="str">
        <f>PROPER(Table82[[#This Row],[Name]])</f>
        <v xml:space="preserve">Surya </v>
      </c>
      <c r="C23" t="s">
        <v>89</v>
      </c>
      <c r="D23" t="s">
        <v>24</v>
      </c>
      <c r="E23" t="str">
        <f>UPPER(Table82[[#This Row],[Region]])</f>
        <v xml:space="preserve"> INDIA </v>
      </c>
      <c r="F23" t="s">
        <v>92</v>
      </c>
      <c r="G23">
        <v>390</v>
      </c>
      <c r="H23">
        <v>5</v>
      </c>
      <c r="I23" t="s">
        <v>31</v>
      </c>
      <c r="J23">
        <v>24</v>
      </c>
      <c r="K23" s="4" t="str">
        <f>IF(Table82[[#This Row],[Amount]]&gt;800,"Excellent",IF(Table82[[#This Row],[Amount]]&gt;=500,"Good","Needs Improvement"))</f>
        <v>Needs Improvement</v>
      </c>
    </row>
    <row r="24" spans="1:11" x14ac:dyDescent="0.3">
      <c r="A24" t="s">
        <v>39</v>
      </c>
      <c r="B24" t="str">
        <f>PROPER(Table82[[#This Row],[Name]])</f>
        <v xml:space="preserve">Arun </v>
      </c>
      <c r="C24" t="s">
        <v>71</v>
      </c>
      <c r="D24" t="s">
        <v>40</v>
      </c>
      <c r="E24" t="str">
        <f>UPPER(Table82[[#This Row],[Region]])</f>
        <v xml:space="preserve"> INDIA </v>
      </c>
      <c r="F24" t="s">
        <v>92</v>
      </c>
      <c r="G24">
        <v>320</v>
      </c>
      <c r="H24">
        <v>12</v>
      </c>
      <c r="I24" t="s">
        <v>34</v>
      </c>
      <c r="J24">
        <v>24</v>
      </c>
      <c r="K24" s="4" t="str">
        <f>IF(Table82[[#This Row],[Amount]]&gt;800,"Excellent",IF(Table82[[#This Row],[Amount]]&gt;=500,"Good","Needs Improvement"))</f>
        <v>Needs Improvement</v>
      </c>
    </row>
    <row r="25" spans="1:11" x14ac:dyDescent="0.3">
      <c r="K25" s="4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 Data</vt:lpstr>
      <vt:lpstr>Convert Data into Table</vt:lpstr>
      <vt:lpstr>Text to Columns </vt:lpstr>
      <vt:lpstr>Flash Fill </vt:lpstr>
      <vt:lpstr>Remove Duplicates </vt:lpstr>
      <vt:lpstr>Sorting</vt:lpstr>
      <vt:lpstr>Data Sandardization  </vt:lpstr>
      <vt:lpstr>Analysis</vt:lpstr>
      <vt:lpstr>Region with Highest</vt:lpstr>
      <vt:lpstr>Performance classification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5769cb3a Power BI</dc:creator>
  <cp:lastModifiedBy>5769cb3a Power BI</cp:lastModifiedBy>
  <dcterms:created xsi:type="dcterms:W3CDTF">2026-04-15T18:15:52Z</dcterms:created>
  <dcterms:modified xsi:type="dcterms:W3CDTF">2026-04-21T17:25:59Z</dcterms:modified>
</cp:coreProperties>
</file>