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38537D83-0A35-427E-AA1C-00F98EA0B494}" xr6:coauthVersionLast="47" xr6:coauthVersionMax="47" xr10:uidLastSave="{00000000-0000-0000-0000-000000000000}"/>
  <bookViews>
    <workbookView xWindow="11424" yWindow="0" windowWidth="11712" windowHeight="12336" xr2:uid="{62B34D14-046A-4FBC-935D-05D2FC860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1" l="1"/>
  <c r="S17" i="1"/>
  <c r="L20" i="1"/>
  <c r="T18" i="1" s="1"/>
  <c r="T14" i="1"/>
  <c r="T12" i="1"/>
  <c r="S3" i="1"/>
  <c r="T2" i="1" s="1"/>
  <c r="U2" i="1" s="1"/>
  <c r="P2" i="1"/>
  <c r="P3" i="1"/>
  <c r="P4" i="1"/>
  <c r="P5" i="1"/>
  <c r="P6" i="1"/>
  <c r="Q6" i="1" s="1"/>
  <c r="P7" i="1"/>
  <c r="P8" i="1"/>
  <c r="P9" i="1"/>
  <c r="Q9" i="1" s="1"/>
  <c r="P10" i="1"/>
  <c r="Q10" i="1" s="1"/>
  <c r="P11" i="1"/>
  <c r="P12" i="1"/>
  <c r="Q12" i="1" s="1"/>
  <c r="P13" i="1"/>
  <c r="Q13" i="1" s="1"/>
  <c r="P14" i="1"/>
  <c r="P15" i="1"/>
  <c r="P16" i="1"/>
  <c r="Q16" i="1" s="1"/>
  <c r="P17" i="1"/>
  <c r="P18" i="1"/>
  <c r="Q18" i="1" s="1"/>
  <c r="P19" i="1"/>
  <c r="P20" i="1"/>
  <c r="Q20" i="1" s="1"/>
  <c r="P21" i="1"/>
  <c r="Q21" i="1" s="1"/>
  <c r="Q11" i="1"/>
  <c r="Q14" i="1"/>
  <c r="Q17" i="1"/>
  <c r="Q2" i="1"/>
  <c r="Q3" i="1"/>
  <c r="Q4" i="1"/>
  <c r="Q8" i="1"/>
  <c r="Q15" i="1"/>
  <c r="Q5" i="1"/>
  <c r="Q7" i="1"/>
  <c r="Q19" i="1"/>
  <c r="G24" i="1"/>
  <c r="O2" i="1"/>
  <c r="E24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1" i="1"/>
  <c r="S8" i="1" l="1"/>
</calcChain>
</file>

<file path=xl/sharedStrings.xml><?xml version="1.0" encoding="utf-8"?>
<sst xmlns="http://schemas.openxmlformats.org/spreadsheetml/2006/main" count="136" uniqueCount="56">
  <si>
    <t>Order ID</t>
  </si>
  <si>
    <t>Customer Info</t>
  </si>
  <si>
    <t>Product</t>
  </si>
  <si>
    <t>Category</t>
  </si>
  <si>
    <t>Quantity</t>
  </si>
  <si>
    <t>Price</t>
  </si>
  <si>
    <t>Region</t>
  </si>
  <si>
    <t>Order Date</t>
  </si>
  <si>
    <t>Channel</t>
  </si>
  <si>
    <t>Status</t>
  </si>
  <si>
    <t>Discount</t>
  </si>
  <si>
    <t>Arjun | 9876543210</t>
  </si>
  <si>
    <t>Pen</t>
  </si>
  <si>
    <t>Stationery</t>
  </si>
  <si>
    <t>india</t>
  </si>
  <si>
    <t>Online</t>
  </si>
  <si>
    <t>Delivered</t>
  </si>
  <si>
    <t>Neha | 9123456780</t>
  </si>
  <si>
    <t>Notebook</t>
  </si>
  <si>
    <t>US</t>
  </si>
  <si>
    <t>Offline</t>
  </si>
  <si>
    <t>Pending</t>
  </si>
  <si>
    <t>Rohit | 9988776655</t>
  </si>
  <si>
    <t>Pencil</t>
  </si>
  <si>
    <t>UK</t>
  </si>
  <si>
    <t>Simran | 9012345678</t>
  </si>
  <si>
    <t>Eraser</t>
  </si>
  <si>
    <t>UAE</t>
  </si>
  <si>
    <t>App</t>
  </si>
  <si>
    <t>Karan | 9090909090</t>
  </si>
  <si>
    <t>India</t>
  </si>
  <si>
    <t>Riya | 9345678901</t>
  </si>
  <si>
    <t>us</t>
  </si>
  <si>
    <t>Amit | 9234567890</t>
  </si>
  <si>
    <t>Cancelled</t>
  </si>
  <si>
    <t>Sara | 9876501234</t>
  </si>
  <si>
    <t>John | 9988001122</t>
  </si>
  <si>
    <t>Uk</t>
  </si>
  <si>
    <t>Meena | 9765432109</t>
  </si>
  <si>
    <t>Returned</t>
  </si>
  <si>
    <t>Vikram | 9123001122</t>
  </si>
  <si>
    <t>Pooja | 9345001123</t>
  </si>
  <si>
    <t>Kiran | 9000011122</t>
  </si>
  <si>
    <t>Anil | 9888800011</t>
  </si>
  <si>
    <t>Divya | 9777700011</t>
  </si>
  <si>
    <t>Rahul | 9666600011</t>
  </si>
  <si>
    <t>Sneha | 9555500011</t>
  </si>
  <si>
    <t>Karthik | 9001122334</t>
  </si>
  <si>
    <t>Lavanya | 9011223344</t>
  </si>
  <si>
    <t>Manoj | 9022334455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</si>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</sst>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right" wrapText="1"/>
    </xf>
    <xf numFmtId="9" fontId="1" fillId="0" borderId="6" xfId="0" applyNumberFormat="1" applyFont="1" applyBorder="1" applyAlignment="1">
      <alignment horizontal="right" wrapText="1"/>
    </xf>
    <xf numFmtId="14" fontId="1" fillId="0" borderId="5" xfId="0" applyNumberFormat="1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14" fontId="1" fillId="0" borderId="8" xfId="0" applyNumberFormat="1" applyFont="1" applyBorder="1" applyAlignment="1">
      <alignment wrapText="1"/>
    </xf>
    <xf numFmtId="14" fontId="0" fillId="0" borderId="0" xfId="0" applyNumberFormat="1"/>
    <xf numFmtId="14" fontId="2" fillId="0" borderId="5" xfId="0" applyNumberFormat="1" applyFont="1" applyBorder="1" applyAlignment="1">
      <alignment wrapText="1"/>
    </xf>
    <xf numFmtId="14" fontId="2" fillId="0" borderId="2" xfId="0" applyNumberFormat="1" applyFont="1" applyBorder="1" applyAlignment="1">
      <alignment wrapText="1"/>
    </xf>
    <xf numFmtId="14" fontId="2" fillId="0" borderId="8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B5D2E-F64E-47E6-ADBA-1CFD875927E1}" name="Table13" displayName="Table13" ref="A1:Q21" totalsRowShown="0" headerRowDxfId="21" dataDxfId="20" headerRowBorderDxfId="18" tableBorderDxfId="19" totalsRowBorderDxfId="17">
  <tableColumns count="17">
    <tableColumn id="1" xr3:uid="{FC6C2C6B-4E66-45E1-9E00-D94E9760F4A1}" name="Order ID" dataDxfId="16"/>
    <tableColumn id="2" xr3:uid="{460F11B3-82A1-4758-801A-CF07DAB8B7A2}" name="Customer Info" dataDxfId="15"/>
    <tableColumn id="3" xr3:uid="{62C22B28-9D3B-45EF-8FAF-1036447C62AD}" name="Product" dataDxfId="14"/>
    <tableColumn id="4" xr3:uid="{58E41640-8A0A-499E-9040-8E9256E58AF4}" name="Category" dataDxfId="13"/>
    <tableColumn id="5" xr3:uid="{4DAF0A4F-4B60-4EF2-A51D-8D05E62F9441}" name="Quantity" dataDxfId="12"/>
    <tableColumn id="6" xr3:uid="{2883C8ED-8520-4792-BFEF-141544586570}" name="Price" dataDxfId="11"/>
    <tableColumn id="7" xr3:uid="{1634F12B-A4CF-4AB7-A03D-9D800FA123E1}" name="Region" dataDxfId="10"/>
    <tableColumn id="8" xr3:uid="{FA3F0A18-9187-4247-A8DE-2F1747094829}" name="Order Date" dataDxfId="9"/>
    <tableColumn id="9" xr3:uid="{FC034AD1-757D-45B1-85E0-695C6C865EDA}" name="Channel" dataDxfId="8"/>
    <tableColumn id="10" xr3:uid="{F20564A6-21D3-4824-B017-845A1D21D374}" name="Status" dataDxfId="7"/>
    <tableColumn id="11" xr3:uid="{E072105E-5293-4D05-9B1C-C8CB9D67B8C5}" name="Discount" dataDxfId="6"/>
    <tableColumn id="12" xr3:uid="{A9C066E8-3329-4D61-A433-038C394C4CCB}" name="Column1" dataDxfId="5">
      <calculatedColumnFormula>TEXT(Table13[[#This Row],[Order Date]],"dd/mmm/yy")</calculatedColumnFormula>
    </tableColumn>
    <tableColumn id="13" xr3:uid="{FE03AF79-B766-44EF-9615-17A9FB9EDDBE}" name="Column2" dataDxfId="4">
      <calculatedColumnFormula>DATEDIF(Table13[[#This Row],[Order Date]],TODAY(),"y")</calculatedColumnFormula>
    </tableColumn>
    <tableColumn id="14" xr3:uid="{C7CCC1DD-8B85-4E30-BF40-9CE6048777FF}" name="Column3" dataDxfId="3">
      <calculatedColumnFormula>EOMONTH(DATE(2026,4,26),0)</calculatedColumnFormula>
    </tableColumn>
    <tableColumn id="15" xr3:uid="{89CDE7CF-4DA5-4E78-B3F0-93DF34692252}" name="Column4" dataDxfId="2">
      <calculatedColumnFormula>EOMONTH(TODAY(),-1)</calculatedColumnFormula>
    </tableColumn>
    <tableColumn id="16" xr3:uid="{D4B209D2-EC60-401A-8864-F6EF97FC98E2}" name="Column5" dataDxfId="0">
      <calculatedColumnFormula>WORKDAY(Table13[[#This Row],[Order Date]],6)</calculatedColumnFormula>
    </tableColumn>
    <tableColumn id="17" xr3:uid="{F5121ED0-CB27-4845-BF47-BC45839D02E6}" name="Column6" dataDxfId="1">
      <calculatedColumnFormula>WEEKDAY(Table13[[#This Row],[Column5]])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E3A5-B705-4AD9-B8C4-0FE010BE5D14}">
  <dimension ref="A1:W25"/>
  <sheetViews>
    <sheetView tabSelected="1" topLeftCell="L1" zoomScale="67" workbookViewId="0">
      <selection activeCell="Q26" sqref="Q26"/>
    </sheetView>
  </sheetViews>
  <sheetFormatPr defaultRowHeight="14.4" x14ac:dyDescent="0.3"/>
  <cols>
    <col min="2" max="2" width="20.44140625" customWidth="1"/>
    <col min="4" max="4" width="11.33203125" customWidth="1"/>
    <col min="5" max="5" width="12" customWidth="1"/>
    <col min="7" max="7" width="10.44140625" bestFit="1" customWidth="1"/>
    <col min="8" max="8" width="15" customWidth="1"/>
    <col min="9" max="9" width="11" customWidth="1"/>
    <col min="10" max="10" width="11.88671875" customWidth="1"/>
    <col min="11" max="11" width="10.44140625" bestFit="1" customWidth="1"/>
    <col min="12" max="12" width="15.33203125" customWidth="1"/>
    <col min="13" max="13" width="12.21875" customWidth="1"/>
    <col min="14" max="14" width="11.5546875" customWidth="1"/>
    <col min="15" max="15" width="13.21875" customWidth="1"/>
    <col min="16" max="16" width="10.44140625" bestFit="1" customWidth="1"/>
    <col min="17" max="17" width="12.33203125" customWidth="1"/>
    <col min="19" max="19" width="15" customWidth="1"/>
    <col min="20" max="20" width="13.5546875" customWidth="1"/>
    <col min="23" max="23" width="14.21875" customWidth="1"/>
  </cols>
  <sheetData>
    <row r="1" spans="1:2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54</v>
      </c>
      <c r="Q1" s="2" t="s">
        <v>55</v>
      </c>
    </row>
    <row r="2" spans="1:23" ht="24.6" customHeight="1" thickBot="1" x14ac:dyDescent="0.35">
      <c r="A2" s="4">
        <v>1001</v>
      </c>
      <c r="B2" s="5" t="s">
        <v>11</v>
      </c>
      <c r="C2" s="5" t="s">
        <v>12</v>
      </c>
      <c r="D2" s="5" t="s">
        <v>13</v>
      </c>
      <c r="E2" s="6">
        <v>10</v>
      </c>
      <c r="F2" s="6">
        <v>20</v>
      </c>
      <c r="G2" s="5" t="s">
        <v>14</v>
      </c>
      <c r="H2" s="7">
        <v>45394</v>
      </c>
      <c r="I2" s="5" t="s">
        <v>15</v>
      </c>
      <c r="J2" s="5" t="s">
        <v>16</v>
      </c>
      <c r="K2" s="8">
        <v>0.05</v>
      </c>
      <c r="L2" s="18" t="str">
        <f>TEXT(Table13[[#This Row],[Order Date]],"dd/mmm/yy")</f>
        <v>12/Apr/24</v>
      </c>
      <c r="M2" s="20">
        <f ca="1">DATEDIF(Table13[[#This Row],[Order Date]],TODAY(),"y")</f>
        <v>2</v>
      </c>
      <c r="N2" s="20">
        <f t="shared" ref="N2:N21" si="0">EOMONTH(DATE(2026,4,26),0)</f>
        <v>46142</v>
      </c>
      <c r="O2" s="21">
        <f t="shared" ref="O2:O21" ca="1" si="1">EOMONTH(TODAY(),-1)</f>
        <v>46112</v>
      </c>
      <c r="P2" s="21">
        <f>WORKDAY(Table13[[#This Row],[Order Date]],6)</f>
        <v>45404</v>
      </c>
      <c r="Q2" s="20">
        <f>WEEKDAY(Table13[[#This Row],[Column5]])</f>
        <v>2</v>
      </c>
      <c r="S2" s="16">
        <v>46125</v>
      </c>
      <c r="T2" s="16">
        <f ca="1">WORKDAY(S2,DATEDIF(S2,S3,"d"),S5:S6)</f>
        <v>46142</v>
      </c>
      <c r="U2">
        <f ca="1">WEEKDAY(T2)</f>
        <v>5</v>
      </c>
      <c r="W2" s="16">
        <v>46153</v>
      </c>
    </row>
    <row r="3" spans="1:23" ht="24" customHeight="1" thickBot="1" x14ac:dyDescent="0.35">
      <c r="A3" s="4">
        <v>1002</v>
      </c>
      <c r="B3" s="5" t="s">
        <v>17</v>
      </c>
      <c r="C3" s="5" t="s">
        <v>18</v>
      </c>
      <c r="D3" s="5" t="s">
        <v>13</v>
      </c>
      <c r="E3" s="6">
        <v>5</v>
      </c>
      <c r="F3" s="6">
        <v>50</v>
      </c>
      <c r="G3" s="5" t="s">
        <v>19</v>
      </c>
      <c r="H3" s="9"/>
      <c r="I3" s="5" t="s">
        <v>20</v>
      </c>
      <c r="J3" s="5" t="s">
        <v>21</v>
      </c>
      <c r="K3" s="8">
        <v>0.1</v>
      </c>
      <c r="L3" s="17" t="str">
        <f>TEXT(Table13[[#This Row],[Order Date]],"dd/mmm/yy")</f>
        <v>00/Jan/00</v>
      </c>
      <c r="M3" s="20">
        <f ca="1">DATEDIF(Table13[[#This Row],[Order Date]],TODAY(),"y")</f>
        <v>126</v>
      </c>
      <c r="N3" s="20">
        <f t="shared" si="0"/>
        <v>46142</v>
      </c>
      <c r="O3" s="21">
        <f t="shared" ca="1" si="1"/>
        <v>46112</v>
      </c>
      <c r="P3" s="21">
        <f>WORKDAY(Table13[[#This Row],[Order Date]],6)</f>
        <v>9</v>
      </c>
      <c r="Q3" s="20">
        <f>WEEKDAY(Table13[[#This Row],[Column5]])</f>
        <v>2</v>
      </c>
      <c r="S3" s="16">
        <f ca="1">TODAY()</f>
        <v>46136</v>
      </c>
    </row>
    <row r="4" spans="1:23" ht="22.2" customHeight="1" thickBot="1" x14ac:dyDescent="0.35">
      <c r="A4" s="4">
        <v>1003</v>
      </c>
      <c r="B4" s="5" t="s">
        <v>22</v>
      </c>
      <c r="C4" s="5" t="s">
        <v>23</v>
      </c>
      <c r="D4" s="5" t="s">
        <v>13</v>
      </c>
      <c r="E4" s="6">
        <v>8</v>
      </c>
      <c r="F4" s="6">
        <v>10</v>
      </c>
      <c r="G4" s="5" t="s">
        <v>24</v>
      </c>
      <c r="H4" s="9">
        <v>45366</v>
      </c>
      <c r="I4" s="5" t="s">
        <v>15</v>
      </c>
      <c r="J4" s="5" t="s">
        <v>16</v>
      </c>
      <c r="K4" s="10"/>
      <c r="L4" s="17" t="str">
        <f>TEXT(Table13[[#This Row],[Order Date]],"dd/mmm/yy")</f>
        <v>15/Mar/24</v>
      </c>
      <c r="M4" s="20">
        <f ca="1">DATEDIF(Table13[[#This Row],[Order Date]],TODAY(),"y")</f>
        <v>2</v>
      </c>
      <c r="N4" s="20">
        <f t="shared" si="0"/>
        <v>46142</v>
      </c>
      <c r="O4" s="21">
        <f t="shared" ca="1" si="1"/>
        <v>46112</v>
      </c>
      <c r="P4" s="21">
        <f>WORKDAY(Table13[[#This Row],[Order Date]],6)</f>
        <v>45376</v>
      </c>
      <c r="Q4" s="20">
        <f>WEEKDAY(Table13[[#This Row],[Column5]])</f>
        <v>2</v>
      </c>
    </row>
    <row r="5" spans="1:23" ht="20.399999999999999" customHeight="1" thickBot="1" x14ac:dyDescent="0.35">
      <c r="A5" s="4">
        <v>1004</v>
      </c>
      <c r="B5" s="5" t="s">
        <v>25</v>
      </c>
      <c r="C5" s="5" t="s">
        <v>26</v>
      </c>
      <c r="D5" s="5" t="s">
        <v>13</v>
      </c>
      <c r="E5" s="6">
        <v>3</v>
      </c>
      <c r="F5" s="6">
        <v>15</v>
      </c>
      <c r="G5" s="5" t="s">
        <v>27</v>
      </c>
      <c r="H5" s="7">
        <v>45332</v>
      </c>
      <c r="I5" s="5" t="s">
        <v>28</v>
      </c>
      <c r="J5" s="5" t="s">
        <v>16</v>
      </c>
      <c r="K5" s="8">
        <v>0.05</v>
      </c>
      <c r="L5" s="17" t="str">
        <f>TEXT(Table13[[#This Row],[Order Date]],"dd/mmm/yy")</f>
        <v>10/Feb/24</v>
      </c>
      <c r="M5" s="20">
        <f ca="1">DATEDIF(Table13[[#This Row],[Order Date]],TODAY(),"y")</f>
        <v>2</v>
      </c>
      <c r="N5" s="20">
        <f t="shared" si="0"/>
        <v>46142</v>
      </c>
      <c r="O5" s="21">
        <f t="shared" ca="1" si="1"/>
        <v>46112</v>
      </c>
      <c r="P5" s="21">
        <f>WORKDAY(Table13[[#This Row],[Order Date]],6)</f>
        <v>45341</v>
      </c>
      <c r="Q5" s="20">
        <f>WEEKDAY(Table13[[#This Row],[Column5]])</f>
        <v>2</v>
      </c>
      <c r="S5" s="16">
        <v>46126</v>
      </c>
    </row>
    <row r="6" spans="1:23" ht="17.399999999999999" customHeight="1" thickBot="1" x14ac:dyDescent="0.35">
      <c r="A6" s="4">
        <v>1005</v>
      </c>
      <c r="B6" s="5" t="s">
        <v>29</v>
      </c>
      <c r="C6" s="5" t="s">
        <v>12</v>
      </c>
      <c r="D6" s="5" t="s">
        <v>13</v>
      </c>
      <c r="E6" s="6">
        <v>6</v>
      </c>
      <c r="F6" s="6">
        <v>20</v>
      </c>
      <c r="G6" s="5" t="s">
        <v>30</v>
      </c>
      <c r="H6" s="7">
        <v>45423</v>
      </c>
      <c r="I6" s="5" t="s">
        <v>15</v>
      </c>
      <c r="J6" s="5"/>
      <c r="K6" s="8">
        <v>0</v>
      </c>
      <c r="L6" s="17" t="str">
        <f>TEXT(Table13[[#This Row],[Order Date]],"dd/mmm/yy")</f>
        <v>11/May/24</v>
      </c>
      <c r="M6" s="20">
        <f ca="1">DATEDIF(Table13[[#This Row],[Order Date]],TODAY(),"y")</f>
        <v>1</v>
      </c>
      <c r="N6" s="20">
        <f t="shared" si="0"/>
        <v>46142</v>
      </c>
      <c r="O6" s="21">
        <f t="shared" ca="1" si="1"/>
        <v>46112</v>
      </c>
      <c r="P6" s="21">
        <f>WORKDAY(Table13[[#This Row],[Order Date]],6)</f>
        <v>45432</v>
      </c>
      <c r="Q6" s="20">
        <f>WEEKDAY(Table13[[#This Row],[Column5]])</f>
        <v>2</v>
      </c>
      <c r="S6" s="16">
        <v>46135</v>
      </c>
    </row>
    <row r="7" spans="1:23" ht="18.600000000000001" customHeight="1" thickBot="1" x14ac:dyDescent="0.35">
      <c r="A7" s="4">
        <v>1006</v>
      </c>
      <c r="B7" s="5" t="s">
        <v>31</v>
      </c>
      <c r="C7" s="5" t="s">
        <v>18</v>
      </c>
      <c r="D7" s="5" t="s">
        <v>13</v>
      </c>
      <c r="E7" s="6">
        <v>3</v>
      </c>
      <c r="F7" s="6">
        <v>50</v>
      </c>
      <c r="G7" s="5" t="s">
        <v>32</v>
      </c>
      <c r="H7" s="7">
        <v>45450</v>
      </c>
      <c r="I7" s="5" t="s">
        <v>28</v>
      </c>
      <c r="J7" s="5" t="s">
        <v>16</v>
      </c>
      <c r="K7" s="8">
        <v>0.1</v>
      </c>
      <c r="L7" s="17" t="str">
        <f>TEXT(Table13[[#This Row],[Order Date]],"dd/mmm/yy")</f>
        <v>07/Jun/24</v>
      </c>
      <c r="M7" s="20">
        <f ca="1">DATEDIF(Table13[[#This Row],[Order Date]],TODAY(),"y")</f>
        <v>1</v>
      </c>
      <c r="N7" s="20">
        <f t="shared" si="0"/>
        <v>46142</v>
      </c>
      <c r="O7" s="21">
        <f t="shared" ca="1" si="1"/>
        <v>46112</v>
      </c>
      <c r="P7" s="21">
        <f>WORKDAY(Table13[[#This Row],[Order Date]],6)</f>
        <v>45460</v>
      </c>
      <c r="Q7" s="20">
        <f>WEEKDAY(Table13[[#This Row],[Column5]])</f>
        <v>2</v>
      </c>
    </row>
    <row r="8" spans="1:23" ht="26.4" customHeight="1" thickBot="1" x14ac:dyDescent="0.35">
      <c r="A8" s="4">
        <v>1007</v>
      </c>
      <c r="B8" s="5" t="s">
        <v>33</v>
      </c>
      <c r="C8" s="5" t="s">
        <v>23</v>
      </c>
      <c r="D8" s="5" t="s">
        <v>13</v>
      </c>
      <c r="E8" s="6">
        <v>2</v>
      </c>
      <c r="F8" s="6">
        <v>10</v>
      </c>
      <c r="G8" s="5" t="s">
        <v>30</v>
      </c>
      <c r="H8" s="9"/>
      <c r="I8" s="5" t="s">
        <v>20</v>
      </c>
      <c r="J8" s="5" t="s">
        <v>34</v>
      </c>
      <c r="K8" s="8">
        <v>0</v>
      </c>
      <c r="L8" s="17" t="str">
        <f>TEXT(Table13[[#This Row],[Order Date]],"dd/mmm/yy")</f>
        <v>00/Jan/00</v>
      </c>
      <c r="M8" s="20">
        <f ca="1">DATEDIF(Table13[[#This Row],[Order Date]],TODAY(),"y")</f>
        <v>126</v>
      </c>
      <c r="N8" s="20">
        <f t="shared" si="0"/>
        <v>46142</v>
      </c>
      <c r="O8" s="21">
        <f t="shared" ca="1" si="1"/>
        <v>46112</v>
      </c>
      <c r="P8" s="21">
        <f>WORKDAY(Table13[[#This Row],[Order Date]],6)</f>
        <v>9</v>
      </c>
      <c r="Q8" s="20">
        <f>WEEKDAY(Table13[[#This Row],[Column5]])</f>
        <v>2</v>
      </c>
      <c r="S8">
        <f ca="1">NETWORKDAYS(S2,S3,S5:S6)</f>
        <v>8</v>
      </c>
    </row>
    <row r="9" spans="1:23" ht="18" customHeight="1" thickBot="1" x14ac:dyDescent="0.35">
      <c r="A9" s="4">
        <v>1008</v>
      </c>
      <c r="B9" s="5" t="s">
        <v>35</v>
      </c>
      <c r="C9" s="5" t="s">
        <v>26</v>
      </c>
      <c r="D9" s="5" t="s">
        <v>13</v>
      </c>
      <c r="E9" s="6">
        <v>0</v>
      </c>
      <c r="F9" s="6">
        <v>15</v>
      </c>
      <c r="G9" s="5" t="s">
        <v>24</v>
      </c>
      <c r="H9" s="9">
        <v>45407</v>
      </c>
      <c r="I9" s="5" t="s">
        <v>15</v>
      </c>
      <c r="J9" s="5" t="s">
        <v>16</v>
      </c>
      <c r="K9" s="8">
        <v>0.05</v>
      </c>
      <c r="L9" s="17" t="str">
        <f>TEXT(Table13[[#This Row],[Order Date]],"dd/mmm/yy")</f>
        <v>25/Apr/24</v>
      </c>
      <c r="M9" s="20">
        <f ca="1">DATEDIF(Table13[[#This Row],[Order Date]],TODAY(),"y")</f>
        <v>1</v>
      </c>
      <c r="N9" s="20">
        <f t="shared" si="0"/>
        <v>46142</v>
      </c>
      <c r="O9" s="21">
        <f t="shared" ca="1" si="1"/>
        <v>46112</v>
      </c>
      <c r="P9" s="21">
        <f>WORKDAY(Table13[[#This Row],[Order Date]],6)</f>
        <v>45415</v>
      </c>
      <c r="Q9" s="20">
        <f>WEEKDAY(Table13[[#This Row],[Column5]])</f>
        <v>6</v>
      </c>
    </row>
    <row r="10" spans="1:23" ht="19.2" customHeight="1" thickBot="1" x14ac:dyDescent="0.35">
      <c r="A10" s="4">
        <v>1009</v>
      </c>
      <c r="B10" s="5" t="s">
        <v>36</v>
      </c>
      <c r="C10" s="5" t="s">
        <v>12</v>
      </c>
      <c r="D10" s="5" t="s">
        <v>13</v>
      </c>
      <c r="E10" s="6">
        <v>8</v>
      </c>
      <c r="F10" s="6">
        <v>20</v>
      </c>
      <c r="G10" s="5" t="s">
        <v>37</v>
      </c>
      <c r="H10" s="9">
        <v>45364</v>
      </c>
      <c r="I10" s="5" t="s">
        <v>28</v>
      </c>
      <c r="J10" s="5" t="s">
        <v>16</v>
      </c>
      <c r="K10" s="8">
        <v>0.05</v>
      </c>
      <c r="L10" s="17" t="str">
        <f>TEXT(Table13[[#This Row],[Order Date]],"dd/mmm/yy")</f>
        <v>13/Mar/24</v>
      </c>
      <c r="M10" s="20">
        <f ca="1">DATEDIF(Table13[[#This Row],[Order Date]],TODAY(),"y")</f>
        <v>2</v>
      </c>
      <c r="N10" s="20">
        <f t="shared" si="0"/>
        <v>46142</v>
      </c>
      <c r="O10" s="21">
        <f t="shared" ca="1" si="1"/>
        <v>46112</v>
      </c>
      <c r="P10" s="21">
        <f>WORKDAY(Table13[[#This Row],[Order Date]],6)</f>
        <v>45372</v>
      </c>
      <c r="Q10" s="20">
        <f>WEEKDAY(Table13[[#This Row],[Column5]])</f>
        <v>5</v>
      </c>
    </row>
    <row r="11" spans="1:23" ht="15" customHeight="1" thickBot="1" x14ac:dyDescent="0.35">
      <c r="A11" s="4">
        <v>1010</v>
      </c>
      <c r="B11" s="5" t="s">
        <v>38</v>
      </c>
      <c r="C11" s="5" t="s">
        <v>18</v>
      </c>
      <c r="D11" s="5" t="s">
        <v>13</v>
      </c>
      <c r="E11" s="6">
        <v>6</v>
      </c>
      <c r="F11" s="6">
        <v>50</v>
      </c>
      <c r="G11" s="5" t="s">
        <v>30</v>
      </c>
      <c r="H11" s="9">
        <v>45404</v>
      </c>
      <c r="I11" s="5" t="s">
        <v>20</v>
      </c>
      <c r="J11" s="5" t="s">
        <v>39</v>
      </c>
      <c r="K11" s="8">
        <v>0.1</v>
      </c>
      <c r="L11" s="17" t="str">
        <f>TEXT(Table13[[#This Row],[Order Date]],"dd/mmm/yy")</f>
        <v>22/Apr/24</v>
      </c>
      <c r="M11" s="20">
        <f ca="1">DATEDIF(Table13[[#This Row],[Order Date]],TODAY(),"y")</f>
        <v>2</v>
      </c>
      <c r="N11" s="20">
        <f t="shared" si="0"/>
        <v>46142</v>
      </c>
      <c r="O11" s="21">
        <f t="shared" ca="1" si="1"/>
        <v>46112</v>
      </c>
      <c r="P11" s="21">
        <f>WORKDAY(Table13[[#This Row],[Order Date]],6)</f>
        <v>45412</v>
      </c>
      <c r="Q11" s="20">
        <f>WEEKDAY(Table13[[#This Row],[Column5]])</f>
        <v>3</v>
      </c>
    </row>
    <row r="12" spans="1:23" ht="19.8" customHeight="1" thickBot="1" x14ac:dyDescent="0.35">
      <c r="A12" s="4">
        <v>1011</v>
      </c>
      <c r="B12" s="5" t="s">
        <v>40</v>
      </c>
      <c r="C12" s="5" t="s">
        <v>12</v>
      </c>
      <c r="D12" s="5" t="s">
        <v>13</v>
      </c>
      <c r="E12" s="6">
        <v>5</v>
      </c>
      <c r="F12" s="6">
        <v>20</v>
      </c>
      <c r="G12" s="5" t="s">
        <v>30</v>
      </c>
      <c r="H12" s="9">
        <v>45340</v>
      </c>
      <c r="I12" s="5" t="s">
        <v>15</v>
      </c>
      <c r="J12" s="5" t="s">
        <v>16</v>
      </c>
      <c r="K12" s="10"/>
      <c r="L12" s="17" t="str">
        <f>TEXT(Table13[[#This Row],[Order Date]],"dd/mmm/yy")</f>
        <v>18/Feb/24</v>
      </c>
      <c r="M12" s="20">
        <f ca="1">DATEDIF(Table13[[#This Row],[Order Date]],TODAY(),"y")</f>
        <v>2</v>
      </c>
      <c r="N12" s="20">
        <f t="shared" si="0"/>
        <v>46142</v>
      </c>
      <c r="O12" s="21">
        <f t="shared" ca="1" si="1"/>
        <v>46112</v>
      </c>
      <c r="P12" s="21">
        <f>WORKDAY(Table13[[#This Row],[Order Date]],6)</f>
        <v>45348</v>
      </c>
      <c r="Q12" s="20">
        <f>WEEKDAY(Table13[[#This Row],[Column5]])</f>
        <v>2</v>
      </c>
      <c r="S12" s="16">
        <v>45402</v>
      </c>
      <c r="T12" t="e">
        <f>DATEVALUE(S12)</f>
        <v>#VALUE!</v>
      </c>
    </row>
    <row r="13" spans="1:23" ht="27.6" customHeight="1" thickBot="1" x14ac:dyDescent="0.35">
      <c r="A13" s="4">
        <v>1012</v>
      </c>
      <c r="B13" s="5" t="s">
        <v>41</v>
      </c>
      <c r="C13" s="5" t="s">
        <v>18</v>
      </c>
      <c r="D13" s="5" t="s">
        <v>13</v>
      </c>
      <c r="E13" s="6">
        <v>2</v>
      </c>
      <c r="F13" s="6">
        <v>50</v>
      </c>
      <c r="G13" s="5" t="s">
        <v>19</v>
      </c>
      <c r="H13" s="9">
        <v>45370</v>
      </c>
      <c r="I13" s="5" t="s">
        <v>28</v>
      </c>
      <c r="J13" s="5" t="s">
        <v>21</v>
      </c>
      <c r="K13" s="8">
        <v>0.1</v>
      </c>
      <c r="L13" s="17" t="str">
        <f>TEXT(Table13[[#This Row],[Order Date]],"dd/mmm/yy")</f>
        <v>19/Mar/24</v>
      </c>
      <c r="M13" s="20">
        <f ca="1">DATEDIF(Table13[[#This Row],[Order Date]],TODAY(),"y")</f>
        <v>2</v>
      </c>
      <c r="N13" s="20">
        <f t="shared" si="0"/>
        <v>46142</v>
      </c>
      <c r="O13" s="21">
        <f t="shared" ca="1" si="1"/>
        <v>46112</v>
      </c>
      <c r="P13" s="21">
        <f>WORKDAY(Table13[[#This Row],[Order Date]],6)</f>
        <v>45378</v>
      </c>
      <c r="Q13" s="20">
        <f>WEEKDAY(Table13[[#This Row],[Column5]])</f>
        <v>4</v>
      </c>
    </row>
    <row r="14" spans="1:23" ht="26.4" customHeight="1" thickBot="1" x14ac:dyDescent="0.35">
      <c r="A14" s="4">
        <v>1013</v>
      </c>
      <c r="B14" s="5" t="s">
        <v>42</v>
      </c>
      <c r="C14" s="5" t="s">
        <v>26</v>
      </c>
      <c r="D14" s="5" t="s">
        <v>13</v>
      </c>
      <c r="E14" s="6">
        <v>3</v>
      </c>
      <c r="F14" s="6">
        <v>15</v>
      </c>
      <c r="G14" s="5" t="s">
        <v>27</v>
      </c>
      <c r="H14" s="9">
        <v>45312</v>
      </c>
      <c r="I14" s="5" t="s">
        <v>15</v>
      </c>
      <c r="J14" s="5" t="s">
        <v>16</v>
      </c>
      <c r="K14" s="8">
        <v>0.05</v>
      </c>
      <c r="L14" s="17" t="str">
        <f>TEXT(Table13[[#This Row],[Order Date]],"dd/mmm/yy")</f>
        <v>21/Jan/24</v>
      </c>
      <c r="M14" s="20">
        <f ca="1">DATEDIF(Table13[[#This Row],[Order Date]],TODAY(),"y")</f>
        <v>2</v>
      </c>
      <c r="N14" s="20">
        <f t="shared" si="0"/>
        <v>46142</v>
      </c>
      <c r="O14" s="21">
        <f t="shared" ca="1" si="1"/>
        <v>46112</v>
      </c>
      <c r="P14" s="21">
        <f>WORKDAY(Table13[[#This Row],[Order Date]],6)</f>
        <v>45320</v>
      </c>
      <c r="Q14" s="20">
        <f>WEEKDAY(Table13[[#This Row],[Column5]])</f>
        <v>2</v>
      </c>
      <c r="S14" s="22">
        <v>45402</v>
      </c>
      <c r="T14" t="e">
        <f>DATEVALUE(S14)</f>
        <v>#VALUE!</v>
      </c>
    </row>
    <row r="15" spans="1:23" ht="28.2" customHeight="1" thickBot="1" x14ac:dyDescent="0.35">
      <c r="A15" s="4">
        <v>1014</v>
      </c>
      <c r="B15" s="5" t="s">
        <v>43</v>
      </c>
      <c r="C15" s="5" t="s">
        <v>23</v>
      </c>
      <c r="D15" s="5" t="s">
        <v>13</v>
      </c>
      <c r="E15" s="6">
        <v>1</v>
      </c>
      <c r="F15" s="6">
        <v>10</v>
      </c>
      <c r="G15" s="5" t="s">
        <v>30</v>
      </c>
      <c r="H15" s="7">
        <v>45417</v>
      </c>
      <c r="I15" s="5" t="s">
        <v>20</v>
      </c>
      <c r="J15" s="5" t="s">
        <v>16</v>
      </c>
      <c r="K15" s="8">
        <v>0</v>
      </c>
      <c r="L15" s="17" t="str">
        <f>TEXT(Table13[[#This Row],[Order Date]],"dd/mmm/yy")</f>
        <v>05/May/24</v>
      </c>
      <c r="M15" s="20">
        <f ca="1">DATEDIF(Table13[[#This Row],[Order Date]],TODAY(),"y")</f>
        <v>1</v>
      </c>
      <c r="N15" s="20">
        <f t="shared" si="0"/>
        <v>46142</v>
      </c>
      <c r="O15" s="21">
        <f t="shared" ca="1" si="1"/>
        <v>46112</v>
      </c>
      <c r="P15" s="21">
        <f>WORKDAY(Table13[[#This Row],[Order Date]],6)</f>
        <v>45425</v>
      </c>
      <c r="Q15" s="20">
        <f>WEEKDAY(Table13[[#This Row],[Column5]])</f>
        <v>2</v>
      </c>
    </row>
    <row r="16" spans="1:23" ht="22.2" customHeight="1" thickBot="1" x14ac:dyDescent="0.35">
      <c r="A16" s="4">
        <v>1015</v>
      </c>
      <c r="B16" s="5" t="s">
        <v>44</v>
      </c>
      <c r="C16" s="5" t="s">
        <v>18</v>
      </c>
      <c r="D16" s="5" t="s">
        <v>13</v>
      </c>
      <c r="E16" s="6">
        <v>4</v>
      </c>
      <c r="F16" s="6">
        <v>50</v>
      </c>
      <c r="G16" s="5" t="s">
        <v>24</v>
      </c>
      <c r="H16" s="7">
        <v>45455</v>
      </c>
      <c r="I16" s="5" t="s">
        <v>28</v>
      </c>
      <c r="J16" s="5" t="s">
        <v>16</v>
      </c>
      <c r="K16" s="8">
        <v>0.1</v>
      </c>
      <c r="L16" s="17" t="str">
        <f>TEXT(Table13[[#This Row],[Order Date]],"dd/mmm/yy")</f>
        <v>12/Jun/24</v>
      </c>
      <c r="M16" s="20">
        <f ca="1">DATEDIF(Table13[[#This Row],[Order Date]],TODAY(),"y")</f>
        <v>1</v>
      </c>
      <c r="N16" s="20">
        <f t="shared" si="0"/>
        <v>46142</v>
      </c>
      <c r="O16" s="21">
        <f t="shared" ca="1" si="1"/>
        <v>46112</v>
      </c>
      <c r="P16" s="21">
        <f>WORKDAY(Table13[[#This Row],[Order Date]],6)</f>
        <v>45463</v>
      </c>
      <c r="Q16" s="20">
        <f>WEEKDAY(Table13[[#This Row],[Column5]])</f>
        <v>5</v>
      </c>
    </row>
    <row r="17" spans="1:20" ht="23.4" customHeight="1" thickBot="1" x14ac:dyDescent="0.35">
      <c r="A17" s="4">
        <v>1016</v>
      </c>
      <c r="B17" s="5" t="s">
        <v>45</v>
      </c>
      <c r="C17" s="5" t="s">
        <v>12</v>
      </c>
      <c r="D17" s="5" t="s">
        <v>13</v>
      </c>
      <c r="E17" s="6">
        <v>7</v>
      </c>
      <c r="F17" s="6">
        <v>20</v>
      </c>
      <c r="G17" s="5" t="s">
        <v>30</v>
      </c>
      <c r="H17" s="7">
        <v>45389</v>
      </c>
      <c r="I17" s="5" t="s">
        <v>15</v>
      </c>
      <c r="J17" s="5" t="s">
        <v>16</v>
      </c>
      <c r="K17" s="8">
        <v>0.05</v>
      </c>
      <c r="L17" s="17" t="str">
        <f>TEXT(Table13[[#This Row],[Order Date]],"dd/mmm/yy")</f>
        <v>07/Apr/24</v>
      </c>
      <c r="M17" s="20">
        <f ca="1">DATEDIF(Table13[[#This Row],[Order Date]],TODAY(),"y")</f>
        <v>2</v>
      </c>
      <c r="N17" s="20">
        <f t="shared" si="0"/>
        <v>46142</v>
      </c>
      <c r="O17" s="21">
        <f t="shared" ca="1" si="1"/>
        <v>46112</v>
      </c>
      <c r="P17" s="21">
        <f>WORKDAY(Table13[[#This Row],[Order Date]],6)</f>
        <v>45397</v>
      </c>
      <c r="Q17" s="20">
        <f>WEEKDAY(Table13[[#This Row],[Column5]])</f>
        <v>2</v>
      </c>
      <c r="S17" s="16">
        <f>DATEVALUE(TEXT(S12,"dd/m/yy"))</f>
        <v>45402</v>
      </c>
    </row>
    <row r="18" spans="1:20" ht="23.4" customHeight="1" thickBot="1" x14ac:dyDescent="0.35">
      <c r="A18" s="4">
        <v>1017</v>
      </c>
      <c r="B18" s="5" t="s">
        <v>46</v>
      </c>
      <c r="C18" s="5" t="s">
        <v>26</v>
      </c>
      <c r="D18" s="5" t="s">
        <v>13</v>
      </c>
      <c r="E18" s="6">
        <v>2</v>
      </c>
      <c r="F18" s="6">
        <v>15</v>
      </c>
      <c r="G18" s="5" t="s">
        <v>27</v>
      </c>
      <c r="H18" s="7">
        <v>45333</v>
      </c>
      <c r="I18" s="5" t="s">
        <v>28</v>
      </c>
      <c r="J18" s="5" t="s">
        <v>34</v>
      </c>
      <c r="K18" s="8">
        <v>0.05</v>
      </c>
      <c r="L18" s="17" t="str">
        <f>TEXT(Table13[[#This Row],[Order Date]],"dd/mmm/yy")</f>
        <v>11/Feb/24</v>
      </c>
      <c r="M18" s="20">
        <f ca="1">DATEDIF(Table13[[#This Row],[Order Date]],TODAY(),"y")</f>
        <v>2</v>
      </c>
      <c r="N18" s="20">
        <f t="shared" si="0"/>
        <v>46142</v>
      </c>
      <c r="O18" s="21">
        <f t="shared" ca="1" si="1"/>
        <v>46112</v>
      </c>
      <c r="P18" s="21">
        <f>WORKDAY(Table13[[#This Row],[Order Date]],6)</f>
        <v>45341</v>
      </c>
      <c r="Q18" s="20">
        <f>WEEKDAY(Table13[[#This Row],[Column5]])</f>
        <v>2</v>
      </c>
      <c r="T18">
        <f>DATEVALUE(L20)</f>
        <v>45420</v>
      </c>
    </row>
    <row r="19" spans="1:20" ht="19.8" customHeight="1" thickBot="1" x14ac:dyDescent="0.35">
      <c r="A19" s="4">
        <v>1018</v>
      </c>
      <c r="B19" s="5" t="s">
        <v>47</v>
      </c>
      <c r="C19" s="5" t="s">
        <v>12</v>
      </c>
      <c r="D19" s="5" t="s">
        <v>13</v>
      </c>
      <c r="E19" s="6">
        <v>6</v>
      </c>
      <c r="F19" s="6">
        <v>20</v>
      </c>
      <c r="G19" s="5" t="s">
        <v>14</v>
      </c>
      <c r="H19" s="7">
        <v>45392</v>
      </c>
      <c r="I19" s="5" t="s">
        <v>15</v>
      </c>
      <c r="J19" s="5" t="s">
        <v>16</v>
      </c>
      <c r="K19" s="8">
        <v>0.05</v>
      </c>
      <c r="L19" s="17" t="str">
        <f>TEXT(Table13[[#This Row],[Order Date]],"dd/mmm/yy")</f>
        <v>10/Apr/24</v>
      </c>
      <c r="M19" s="20">
        <f ca="1">DATEDIF(Table13[[#This Row],[Order Date]],TODAY(),"y")</f>
        <v>2</v>
      </c>
      <c r="N19" s="20">
        <f t="shared" si="0"/>
        <v>46142</v>
      </c>
      <c r="O19" s="21">
        <f t="shared" ca="1" si="1"/>
        <v>46112</v>
      </c>
      <c r="P19" s="21">
        <f>WORKDAY(Table13[[#This Row],[Order Date]],6)</f>
        <v>45400</v>
      </c>
      <c r="Q19" s="20">
        <f>WEEKDAY(Table13[[#This Row],[Column5]])</f>
        <v>5</v>
      </c>
    </row>
    <row r="20" spans="1:20" ht="28.8" customHeight="1" thickBot="1" x14ac:dyDescent="0.35">
      <c r="A20" s="4">
        <v>1019</v>
      </c>
      <c r="B20" s="5" t="s">
        <v>48</v>
      </c>
      <c r="C20" s="5" t="s">
        <v>18</v>
      </c>
      <c r="D20" s="5" t="s">
        <v>13</v>
      </c>
      <c r="E20" s="6">
        <v>7</v>
      </c>
      <c r="F20" s="6">
        <v>50</v>
      </c>
      <c r="G20" s="5" t="s">
        <v>19</v>
      </c>
      <c r="H20" s="7">
        <v>45420</v>
      </c>
      <c r="I20" s="5" t="s">
        <v>28</v>
      </c>
      <c r="J20" s="5" t="s">
        <v>16</v>
      </c>
      <c r="K20" s="8">
        <v>0.1</v>
      </c>
      <c r="L20" s="17" t="str">
        <f>TEXT(Table13[[#This Row],[Order Date]],"dd/mmm/yy")</f>
        <v>08/May/24</v>
      </c>
      <c r="M20" s="20">
        <f ca="1">DATEDIF(Table13[[#This Row],[Order Date]],TODAY(),"y")</f>
        <v>1</v>
      </c>
      <c r="N20" s="20">
        <f t="shared" si="0"/>
        <v>46142</v>
      </c>
      <c r="O20" s="21">
        <f t="shared" ca="1" si="1"/>
        <v>46112</v>
      </c>
      <c r="P20" s="21">
        <f>WORKDAY(Table13[[#This Row],[Order Date]],6)</f>
        <v>45428</v>
      </c>
      <c r="Q20" s="20">
        <f>WEEKDAY(Table13[[#This Row],[Column5]])</f>
        <v>5</v>
      </c>
    </row>
    <row r="21" spans="1:20" ht="18.600000000000001" customHeight="1" x14ac:dyDescent="0.3">
      <c r="A21" s="11">
        <v>1020</v>
      </c>
      <c r="B21" s="12" t="s">
        <v>49</v>
      </c>
      <c r="C21" s="12" t="s">
        <v>23</v>
      </c>
      <c r="D21" s="12" t="s">
        <v>13</v>
      </c>
      <c r="E21" s="13">
        <v>3</v>
      </c>
      <c r="F21" s="13">
        <v>10</v>
      </c>
      <c r="G21" s="12" t="s">
        <v>24</v>
      </c>
      <c r="H21" s="15"/>
      <c r="I21" s="12" t="s">
        <v>20</v>
      </c>
      <c r="J21" s="12" t="s">
        <v>16</v>
      </c>
      <c r="K21" s="14"/>
      <c r="L21" s="19" t="str">
        <f>TEXT(Table13[[#This Row],[Order Date]],"dd/mmm/yy")</f>
        <v>00/Jan/00</v>
      </c>
      <c r="M21" s="20">
        <f ca="1">DATEDIF(Table13[[#This Row],[Order Date]],TODAY(),"y")</f>
        <v>126</v>
      </c>
      <c r="N21" s="20">
        <f t="shared" si="0"/>
        <v>46142</v>
      </c>
      <c r="O21" s="21">
        <f t="shared" ca="1" si="1"/>
        <v>46112</v>
      </c>
      <c r="P21" s="21">
        <f>WORKDAY(Table13[[#This Row],[Order Date]],6)</f>
        <v>9</v>
      </c>
      <c r="Q21" s="20">
        <f>WEEKDAY(Table13[[#This Row],[Column5]])</f>
        <v>2</v>
      </c>
    </row>
    <row r="22" spans="1:20" x14ac:dyDescent="0.3">
      <c r="S22">
        <v>1</v>
      </c>
    </row>
    <row r="24" spans="1:20" x14ac:dyDescent="0.3">
      <c r="E24">
        <f ca="1">WEEKDAY(O2)</f>
        <v>3</v>
      </c>
      <c r="G24" s="16">
        <f>WORKDAY(H2,5)</f>
        <v>45401</v>
      </c>
    </row>
    <row r="25" spans="1:20" x14ac:dyDescent="0.3">
      <c r="M25" s="16" t="e">
        <f xml:space="preserve"> DATE(2000+RIGHT(TRIM(L20),2),MID(TRIM(L20),4,2),LEFT(TRIM(L20),2))</f>
        <v>#VALUE!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2026-04-24T05:08:18Z</dcterms:created>
  <dcterms:modified xsi:type="dcterms:W3CDTF">2026-04-24T08:01:25Z</dcterms:modified>
</cp:coreProperties>
</file>